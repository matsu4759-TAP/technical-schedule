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使い方" sheetId="1" state="visible" r:id="rId3"/>
    <sheet name="項目選択" sheetId="2" state="visible" r:id="rId4"/>
    <sheet name="見積書" sheetId="3" state="visible" r:id="rId5"/>
  </sheets>
  <definedNames>
    <definedName function="false" hidden="false" localSheetId="2" name="_xlnm.Print_Area" vbProcedure="false">見積書!$A$1:$F$40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<sst xmlns="http://schemas.openxmlformats.org/spreadsheetml/2006/main" count="87" uniqueCount="71">
  <si>
    <t xml:space="preserve">見積書作成ツールの使い方</t>
  </si>
  <si>
    <r>
      <rPr>
        <sz val="10"/>
        <color rgb="FF000000"/>
        <rFont val="Meiryo UI"/>
        <family val="0"/>
        <charset val="1"/>
      </rPr>
      <t xml:space="preserve">1. </t>
    </r>
    <r>
      <rPr>
        <sz val="10"/>
        <color rgb="FF000000"/>
        <rFont val="WenQuanYi Zen Hei"/>
        <family val="2"/>
      </rPr>
      <t xml:space="preserve">「項目選択」シートで、見積書に載せたい項目の「選択」を </t>
    </r>
    <r>
      <rPr>
        <sz val="10"/>
        <color rgb="FF000000"/>
        <rFont val="Meiryo UI"/>
        <family val="0"/>
        <charset val="1"/>
      </rPr>
      <t xml:space="preserve">TRUE(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にする</t>
    </r>
  </si>
  <si>
    <r>
      <rPr>
        <sz val="10"/>
        <color rgb="FF000000"/>
        <rFont val="Meiryo UI"/>
        <family val="0"/>
        <charset val="1"/>
      </rPr>
      <t xml:space="preserve">2. </t>
    </r>
    <r>
      <rPr>
        <sz val="10"/>
        <color rgb="FF000000"/>
        <rFont val="WenQuanYi Zen Hei"/>
        <family val="2"/>
      </rPr>
      <t xml:space="preserve">数量を必要に応じて変更する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単価・項目名の追加</t>
    </r>
    <r>
      <rPr>
        <sz val="10"/>
        <color rgb="FF000000"/>
        <rFont val="Meiryo UI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変更も黄色セルで可能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</si>
  <si>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Meiryo UI"/>
        <family val="0"/>
        <charset val="1"/>
      </rPr>
      <t xml:space="preserve">3. </t>
    </r>
    <r>
      <rPr>
        <sz val="10"/>
        <color rgb="FF000000"/>
        <rFont val="WenQuanYi Zen Hei"/>
        <family val="2"/>
      </rPr>
      <t xml:space="preserve">「見積書」シートで宛先・件名・見積番号など黄色のセルを入力する</t>
    </r>
  </si>
  <si>
    <r>
      <rPr>
        <sz val="10"/>
        <color rgb="FF000000"/>
        <rFont val="Meiryo UI"/>
        <family val="0"/>
        <charset val="1"/>
      </rPr>
      <t xml:space="preserve">4. </t>
    </r>
    <r>
      <rPr>
        <sz val="10"/>
        <color rgb="FF000000"/>
        <rFont val="WenQuanYi Zen Hei"/>
        <family val="2"/>
      </rPr>
      <t xml:space="preserve">「見積書」シートを印刷 または </t>
    </r>
    <r>
      <rPr>
        <sz val="10"/>
        <color rgb="FF000000"/>
        <rFont val="Meiryo UI"/>
        <family val="0"/>
        <charset val="1"/>
      </rPr>
      <t xml:space="preserve">PDF </t>
    </r>
    <r>
      <rPr>
        <sz val="10"/>
        <color rgb="FF000000"/>
        <rFont val="WenQuanYi Zen Hei"/>
        <family val="2"/>
      </rPr>
      <t xml:space="preserve">で保存して提出する</t>
    </r>
  </si>
  <si>
    <t xml:space="preserve">■ ルール</t>
  </si>
  <si>
    <r>
      <rPr>
        <sz val="10"/>
        <color rgb="FF000000"/>
        <rFont val="WenQuanYi Zen Hei"/>
        <family val="2"/>
      </rPr>
      <t xml:space="preserve">・黄色のセル </t>
    </r>
    <r>
      <rPr>
        <sz val="10"/>
        <color rgb="FF000000"/>
        <rFont val="Meiryo UI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入力するセル。白いセルは計算式なので編集しないでください。</t>
    </r>
  </si>
  <si>
    <r>
      <rPr>
        <sz val="10"/>
        <color rgb="FF000000"/>
        <rFont val="WenQuanYi Zen Hei"/>
        <family val="2"/>
      </rPr>
      <t xml:space="preserve">・見積書に載る明細は最大 </t>
    </r>
    <r>
      <rPr>
        <sz val="10"/>
        <color rgb="FF000000"/>
        <rFont val="Meiryo UI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行です。</t>
    </r>
  </si>
  <si>
    <t xml:space="preserve">・明細は「項目選択」シートの並び順で掲載されます。</t>
  </si>
  <si>
    <t xml:space="preserve">■ チームでの使い方</t>
  </si>
  <si>
    <r>
      <rPr>
        <sz val="10"/>
        <color rgb="FF000000"/>
        <rFont val="WenQuanYi Zen Hei"/>
        <family val="2"/>
      </rPr>
      <t xml:space="preserve">・このファイルを </t>
    </r>
    <r>
      <rPr>
        <sz val="10"/>
        <color rgb="FF000000"/>
        <rFont val="Meiryo UI"/>
        <family val="0"/>
        <charset val="1"/>
      </rPr>
      <t xml:space="preserve">SharePoint / OneDrive / Teams </t>
    </r>
    <r>
      <rPr>
        <sz val="10"/>
        <color rgb="FF000000"/>
        <rFont val="WenQuanYi Zen Hei"/>
        <family val="2"/>
      </rPr>
      <t xml:space="preserve">に置き、マスタ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原本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として管理します。</t>
    </r>
  </si>
  <si>
    <t xml:space="preserve">・見積書を作るときは「名前を付けて保存」でコピーしてから編集すると原本が崩れません。</t>
  </si>
  <si>
    <r>
      <rPr>
        <sz val="10"/>
        <color rgb="FF000000"/>
        <rFont val="WenQuanYi Zen Hei"/>
        <family val="2"/>
      </rPr>
      <t xml:space="preserve">・マクロ不使用のため、</t>
    </r>
    <r>
      <rPr>
        <sz val="10"/>
        <color rgb="FF000000"/>
        <rFont val="Meiryo UI"/>
        <family val="0"/>
        <charset val="1"/>
      </rPr>
      <t xml:space="preserve">Excel for the web(</t>
    </r>
    <r>
      <rPr>
        <sz val="10"/>
        <color rgb="FF000000"/>
        <rFont val="WenQuanYi Zen Hei"/>
        <family val="2"/>
      </rPr>
      <t xml:space="preserve">ブラウザ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や </t>
    </r>
    <r>
      <rPr>
        <sz val="10"/>
        <color rgb="FF000000"/>
        <rFont val="Meiryo UI"/>
        <family val="0"/>
        <charset val="1"/>
      </rPr>
      <t xml:space="preserve">Teams </t>
    </r>
    <r>
      <rPr>
        <sz val="10"/>
        <color rgb="FF000000"/>
        <rFont val="WenQuanYi Zen Hei"/>
        <family val="2"/>
      </rPr>
      <t xml:space="preserve">上でもそのまま使えます。</t>
    </r>
  </si>
  <si>
    <t xml:space="preserve">見積項目の選択</t>
  </si>
  <si>
    <r>
      <rPr>
        <sz val="9"/>
        <color rgb="FF555555"/>
        <rFont val="WenQuanYi Zen Hei"/>
        <family val="2"/>
      </rPr>
      <t xml:space="preserve">「選択」列で </t>
    </r>
    <r>
      <rPr>
        <sz val="9"/>
        <color rgb="FF555555"/>
        <rFont val="Meiryo UI"/>
        <family val="0"/>
        <charset val="1"/>
      </rPr>
      <t xml:space="preserve">TRUE(</t>
    </r>
    <r>
      <rPr>
        <sz val="9"/>
        <color rgb="FF555555"/>
        <rFont val="WenQuanYi Zen Hei"/>
        <family val="2"/>
      </rPr>
      <t xml:space="preserve">チェック</t>
    </r>
    <r>
      <rPr>
        <sz val="9"/>
        <color rgb="FF555555"/>
        <rFont val="Meiryo UI"/>
        <family val="0"/>
        <charset val="1"/>
      </rPr>
      <t xml:space="preserve">)</t>
    </r>
    <r>
      <rPr>
        <sz val="9"/>
        <color rgb="FF555555"/>
        <rFont val="WenQuanYi Zen Hei"/>
        <family val="2"/>
      </rPr>
      <t xml:space="preserve">にした項目が「見積書」シートに自動で反映されます。黄色のセルを編集してください。</t>
    </r>
  </si>
  <si>
    <r>
      <rPr>
        <sz val="9"/>
        <color rgb="FF555555"/>
        <rFont val="Meiryo UI"/>
        <family val="0"/>
        <charset val="1"/>
      </rPr>
      <t xml:space="preserve">※Microsoft 365 </t>
    </r>
    <r>
      <rPr>
        <sz val="9"/>
        <color rgb="FF555555"/>
        <rFont val="WenQuanYi Zen Hei"/>
        <family val="2"/>
      </rPr>
      <t xml:space="preserve">の場合、</t>
    </r>
    <r>
      <rPr>
        <sz val="9"/>
        <color rgb="FF555555"/>
        <rFont val="Meiryo UI"/>
        <family val="0"/>
        <charset val="1"/>
      </rPr>
      <t xml:space="preserve">A</t>
    </r>
    <r>
      <rPr>
        <sz val="9"/>
        <color rgb="FF555555"/>
        <rFont val="WenQuanYi Zen Hei"/>
        <family val="2"/>
      </rPr>
      <t xml:space="preserve">列を選択して［挿入］→［チェックボックス］でクリック式のチェックボックスになります。</t>
    </r>
  </si>
  <si>
    <t xml:space="preserve">選択</t>
  </si>
  <si>
    <t xml:space="preserve">区分</t>
  </si>
  <si>
    <t xml:space="preserve">項目名</t>
  </si>
  <si>
    <t xml:space="preserve">単位</t>
  </si>
  <si>
    <r>
      <rPr>
        <b val="true"/>
        <sz val="10"/>
        <color rgb="FFFFFFFF"/>
        <rFont val="WenQuanYi Zen Hei"/>
        <family val="2"/>
      </rPr>
      <t xml:space="preserve">単価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</si>
  <si>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数量</t>
  </si>
  <si>
    <r>
      <rPr>
        <b val="true"/>
        <sz val="10"/>
        <color rgb="FFFFFFFF"/>
        <rFont val="WenQuanYi Zen Hei"/>
        <family val="2"/>
      </rPr>
      <t xml:space="preserve">金額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</si>
  <si>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掲載順</t>
  </si>
  <si>
    <t xml:space="preserve">基本費用</t>
  </si>
  <si>
    <t xml:space="preserve">現地調査費</t>
  </si>
  <si>
    <t xml:space="preserve">式</t>
  </si>
  <si>
    <t xml:space="preserve">設計・計画費</t>
  </si>
  <si>
    <t xml:space="preserve">諸経費</t>
  </si>
  <si>
    <t xml:space="preserve">作業費</t>
  </si>
  <si>
    <t xml:space="preserve">技術者作業費</t>
  </si>
  <si>
    <t xml:space="preserve">人日</t>
  </si>
  <si>
    <t xml:space="preserve">測定作業費</t>
  </si>
  <si>
    <t xml:space="preserve">回</t>
  </si>
  <si>
    <t xml:space="preserve">立会い費</t>
  </si>
  <si>
    <t xml:space="preserve">機材費</t>
  </si>
  <si>
    <t xml:space="preserve">測定機器レンタル</t>
  </si>
  <si>
    <t xml:space="preserve">日</t>
  </si>
  <si>
    <t xml:space="preserve">消耗品</t>
  </si>
  <si>
    <t xml:space="preserve">交通・出張</t>
  </si>
  <si>
    <t xml:space="preserve">交通費</t>
  </si>
  <si>
    <t xml:space="preserve">宿泊費</t>
  </si>
  <si>
    <t xml:space="preserve">泊</t>
  </si>
  <si>
    <t xml:space="preserve">報告</t>
  </si>
  <si>
    <t xml:space="preserve">報告書作成費</t>
  </si>
  <si>
    <t xml:space="preserve">部</t>
  </si>
  <si>
    <t xml:space="preserve">報告会実施費</t>
  </si>
  <si>
    <t xml:space="preserve">選択件数</t>
  </si>
  <si>
    <t xml:space="preserve">御 見 積 書</t>
  </si>
  <si>
    <t xml:space="preserve">株式会社サンプル商事</t>
  </si>
  <si>
    <t xml:space="preserve">御中</t>
  </si>
  <si>
    <t xml:space="preserve">見積番号</t>
  </si>
  <si>
    <t xml:space="preserve">Q-2026-001</t>
  </si>
  <si>
    <t xml:space="preserve">消費税率</t>
  </si>
  <si>
    <t xml:space="preserve">件名：測定業務一式</t>
  </si>
  <si>
    <t xml:space="preserve">見積日</t>
  </si>
  <si>
    <t xml:space="preserve">有効期限</t>
  </si>
  <si>
    <t xml:space="preserve">下記の通り御見積申し上げます。</t>
  </si>
  <si>
    <t xml:space="preserve">〇〇株式会社</t>
  </si>
  <si>
    <r>
      <rPr>
        <sz val="9"/>
        <color rgb="FF000000"/>
        <rFont val="WenQuanYi Zen Hei"/>
        <family val="2"/>
      </rPr>
      <t xml:space="preserve">〒</t>
    </r>
    <r>
      <rPr>
        <sz val="9"/>
        <color rgb="FF000000"/>
        <rFont val="Meiryo UI"/>
        <family val="0"/>
        <charset val="1"/>
      </rPr>
      <t xml:space="preserve">000-0000 </t>
    </r>
    <r>
      <rPr>
        <sz val="9"/>
        <color rgb="FF000000"/>
        <rFont val="WenQuanYi Zen Hei"/>
        <family val="2"/>
      </rPr>
      <t xml:space="preserve">東京都〇〇区〇〇 </t>
    </r>
    <r>
      <rPr>
        <sz val="9"/>
        <color rgb="FF000000"/>
        <rFont val="Meiryo UI"/>
        <family val="0"/>
        <charset val="1"/>
      </rPr>
      <t xml:space="preserve">1-2-3</t>
    </r>
  </si>
  <si>
    <r>
      <rPr>
        <b val="true"/>
        <sz val="11"/>
        <color rgb="FF000000"/>
        <rFont val="WenQuanYi Zen Hei"/>
        <family val="2"/>
      </rPr>
      <t xml:space="preserve">御見積金額</t>
    </r>
    <r>
      <rPr>
        <b val="true"/>
        <sz val="11"/>
        <color rgb="FF000000"/>
        <rFont val="Meiryo UI"/>
        <family val="0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税込</t>
    </r>
    <r>
      <rPr>
        <b val="true"/>
        <sz val="11"/>
        <color rgb="FF000000"/>
        <rFont val="Meiryo UI"/>
        <family val="0"/>
        <charset val="1"/>
      </rPr>
      <t xml:space="preserve">)</t>
    </r>
  </si>
  <si>
    <t xml:space="preserve">TEL 00-0000-0000</t>
  </si>
  <si>
    <t xml:space="preserve">担当：〇〇</t>
  </si>
  <si>
    <t xml:space="preserve">No.</t>
  </si>
  <si>
    <t xml:space="preserve">単価</t>
  </si>
  <si>
    <t xml:space="preserve">金額</t>
  </si>
  <si>
    <t xml:space="preserve">小計</t>
  </si>
  <si>
    <t xml:space="preserve">消費税</t>
  </si>
  <si>
    <t xml:space="preserve">合計</t>
  </si>
  <si>
    <t xml:space="preserve">備考</t>
  </si>
  <si>
    <t xml:space="preserve">・お支払条件：月末締め翌月末払い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</si>
</sst>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"/>
    <numFmt numFmtId="167" formatCode="0%"/>
    <numFmt numFmtId="168" formatCode="yyyy\年m\月d\日"/>
    <numFmt numFmtId="169" formatCode="\¥#,##0;&quot;-¥&quot;#,##0;&quot;&quot;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WenQuanYi Zen Hei"/>
      <family val="2"/>
    </font>
    <font>
      <sz val="10"/>
      <color rgb="FF000000"/>
      <name val="Meiryo UI"/>
      <family val="0"/>
      <charset val="1"/>
    </font>
    <font>
      <sz val="10"/>
      <color rgb="FF000000"/>
      <name val="WenQuanYi Zen Hei"/>
      <family val="2"/>
    </font>
    <font>
      <b val="true"/>
      <sz val="11"/>
      <color rgb="FF000000"/>
      <name val="WenQuanYi Zen Hei"/>
      <family val="2"/>
    </font>
    <font>
      <sz val="9"/>
      <color rgb="FF555555"/>
      <name val="WenQuanYi Zen Hei"/>
      <family val="2"/>
    </font>
    <font>
      <sz val="9"/>
      <color rgb="FF555555"/>
      <name val="Meiryo UI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Meiryo UI"/>
      <family val="0"/>
      <charset val="1"/>
    </font>
    <font>
      <sz val="10"/>
      <color rgb="FF555555"/>
      <name val="Meiryo UI"/>
      <family val="0"/>
      <charset val="1"/>
    </font>
    <font>
      <b val="true"/>
      <sz val="10"/>
      <color rgb="FF000000"/>
      <name val="WenQuanYi Zen Hei"/>
      <family val="2"/>
    </font>
    <font>
      <b val="true"/>
      <sz val="9"/>
      <color rgb="FFC00000"/>
      <name val="Meiryo UI"/>
      <family val="0"/>
      <charset val="1"/>
    </font>
    <font>
      <b val="true"/>
      <sz val="20"/>
      <color rgb="FF000000"/>
      <name val="WenQuanYi Zen Hei"/>
      <family val="2"/>
    </font>
    <font>
      <sz val="11"/>
      <color rgb="FF000000"/>
      <name val="WenQuanYi Zen Hei"/>
      <family val="2"/>
    </font>
    <font>
      <sz val="9"/>
      <color rgb="FF000000"/>
      <name val="WenQuanYi Zen Hei"/>
      <family val="2"/>
    </font>
    <font>
      <sz val="9"/>
      <color rgb="FF000000"/>
      <name val="Meiryo UI"/>
      <family val="0"/>
      <charset val="1"/>
    </font>
    <font>
      <b val="true"/>
      <sz val="11"/>
      <color rgb="FF000000"/>
      <name val="Meiryo UI"/>
      <family val="0"/>
      <charset val="1"/>
    </font>
    <font>
      <b val="true"/>
      <sz val="16"/>
      <color rgb="FF000000"/>
      <name val="Meiryo UI"/>
      <family val="0"/>
      <charset val="1"/>
    </font>
    <font>
      <b val="true"/>
      <sz val="10"/>
      <color rgb="FF000000"/>
      <name val="Meiryo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DEB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4.15" hidden="false" customHeight="false" outlineLevel="0" collapsed="false">
      <c r="A3" s="2" t="s">
        <v>1</v>
      </c>
    </row>
    <row r="4" customFormat="false" ht="14.15" hidden="false" customHeight="false" outlineLevel="0" collapsed="false">
      <c r="A4" s="2" t="s">
        <v>2</v>
      </c>
    </row>
    <row r="5" customFormat="false" ht="14.15" hidden="false" customHeight="false" outlineLevel="0" collapsed="false">
      <c r="A5" s="2" t="s">
        <v>3</v>
      </c>
    </row>
    <row r="6" customFormat="false" ht="14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4.15" hidden="false" customHeight="false" outlineLevel="0" collapsed="false">
      <c r="A9" s="4" t="s">
        <v>6</v>
      </c>
    </row>
    <row r="10" customFormat="false" ht="14.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4.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4" t="s">
        <v>11</v>
      </c>
    </row>
    <row r="16" customFormat="false" ht="14.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8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5" t="s">
        <v>14</v>
      </c>
    </row>
    <row r="3" customFormat="false" ht="15" hidden="false" customHeight="false" outlineLevel="0" collapsed="false">
      <c r="A3" s="6" t="s">
        <v>15</v>
      </c>
    </row>
    <row r="4" customFormat="false" ht="15" hidden="false" customHeight="fals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</row>
    <row r="5" customFormat="false" ht="15" hidden="false" customHeight="false" outlineLevel="0" collapsed="false">
      <c r="A5" s="8" t="b">
        <f aca="false">FALSE()</f>
        <v>0</v>
      </c>
      <c r="B5" s="9" t="s">
        <v>24</v>
      </c>
      <c r="C5" s="9" t="s">
        <v>25</v>
      </c>
      <c r="D5" s="9" t="s">
        <v>26</v>
      </c>
      <c r="E5" s="10" t="n">
        <v>30000</v>
      </c>
      <c r="F5" s="9" t="n">
        <v>1</v>
      </c>
      <c r="G5" s="11" t="n">
        <f aca="false">IF(C5="","",E5*F5)</f>
        <v>30000</v>
      </c>
      <c r="H5" s="12" t="str">
        <f aca="false">IF(AND(A5=TRUE(),C5&lt;&gt;""),COUNTIF(A$5:A5,TRUE()),"")</f>
        <v/>
      </c>
    </row>
    <row r="6" customFormat="false" ht="15" hidden="false" customHeight="false" outlineLevel="0" collapsed="false">
      <c r="A6" s="8" t="b">
        <f aca="false">FALSE()</f>
        <v>0</v>
      </c>
      <c r="B6" s="9" t="s">
        <v>24</v>
      </c>
      <c r="C6" s="9" t="s">
        <v>27</v>
      </c>
      <c r="D6" s="9" t="s">
        <v>26</v>
      </c>
      <c r="E6" s="10" t="n">
        <v>50000</v>
      </c>
      <c r="F6" s="9" t="n">
        <v>1</v>
      </c>
      <c r="G6" s="11" t="n">
        <f aca="false">IF(C6="","",E6*F6)</f>
        <v>50000</v>
      </c>
      <c r="H6" s="12" t="str">
        <f aca="false">IF(AND(A6=TRUE(),C6&lt;&gt;""),COUNTIF(A$5:A6,TRUE()),"")</f>
        <v/>
      </c>
    </row>
    <row r="7" customFormat="false" ht="15" hidden="false" customHeight="false" outlineLevel="0" collapsed="false">
      <c r="A7" s="8" t="b">
        <f aca="false">FALSE()</f>
        <v>0</v>
      </c>
      <c r="B7" s="9" t="s">
        <v>24</v>
      </c>
      <c r="C7" s="9" t="s">
        <v>28</v>
      </c>
      <c r="D7" s="9" t="s">
        <v>26</v>
      </c>
      <c r="E7" s="10" t="n">
        <v>20000</v>
      </c>
      <c r="F7" s="9" t="n">
        <v>1</v>
      </c>
      <c r="G7" s="11" t="n">
        <f aca="false">IF(C7="","",E7*F7)</f>
        <v>20000</v>
      </c>
      <c r="H7" s="12" t="str">
        <f aca="false">IF(AND(A7=TRUE(),C7&lt;&gt;""),COUNTIF(A$5:A7,TRUE()),"")</f>
        <v/>
      </c>
    </row>
    <row r="8" customFormat="false" ht="15" hidden="false" customHeight="false" outlineLevel="0" collapsed="false">
      <c r="A8" s="8" t="b">
        <f aca="false">FALSE()</f>
        <v>0</v>
      </c>
      <c r="B8" s="9" t="s">
        <v>29</v>
      </c>
      <c r="C8" s="9" t="s">
        <v>30</v>
      </c>
      <c r="D8" s="9" t="s">
        <v>31</v>
      </c>
      <c r="E8" s="10" t="n">
        <v>45000</v>
      </c>
      <c r="F8" s="9" t="n">
        <v>2</v>
      </c>
      <c r="G8" s="11" t="n">
        <f aca="false">IF(C8="","",E8*F8)</f>
        <v>90000</v>
      </c>
      <c r="H8" s="12" t="str">
        <f aca="false">IF(AND(A8=TRUE(),C8&lt;&gt;""),COUNTIF(A$5:A8,TRUE()),"")</f>
        <v/>
      </c>
    </row>
    <row r="9" customFormat="false" ht="15" hidden="false" customHeight="false" outlineLevel="0" collapsed="false">
      <c r="A9" s="8" t="b">
        <f aca="false">FALSE()</f>
        <v>0</v>
      </c>
      <c r="B9" s="9" t="s">
        <v>29</v>
      </c>
      <c r="C9" s="9" t="s">
        <v>32</v>
      </c>
      <c r="D9" s="9" t="s">
        <v>33</v>
      </c>
      <c r="E9" s="10" t="n">
        <v>25000</v>
      </c>
      <c r="F9" s="9" t="n">
        <v>1</v>
      </c>
      <c r="G9" s="11" t="n">
        <f aca="false">IF(C9="","",E9*F9)</f>
        <v>25000</v>
      </c>
      <c r="H9" s="12" t="str">
        <f aca="false">IF(AND(A9=TRUE(),C9&lt;&gt;""),COUNTIF(A$5:A9,TRUE()),"")</f>
        <v/>
      </c>
    </row>
    <row r="10" customFormat="false" ht="15" hidden="false" customHeight="false" outlineLevel="0" collapsed="false">
      <c r="A10" s="8" t="b">
        <f aca="false">FALSE()</f>
        <v>0</v>
      </c>
      <c r="B10" s="9" t="s">
        <v>29</v>
      </c>
      <c r="C10" s="9" t="s">
        <v>34</v>
      </c>
      <c r="D10" s="9" t="s">
        <v>33</v>
      </c>
      <c r="E10" s="10" t="n">
        <v>15000</v>
      </c>
      <c r="F10" s="9" t="n">
        <v>1</v>
      </c>
      <c r="G10" s="11" t="n">
        <f aca="false">IF(C10="","",E10*F10)</f>
        <v>15000</v>
      </c>
      <c r="H10" s="12" t="str">
        <f aca="false">IF(AND(A10=TRUE(),C10&lt;&gt;""),COUNTIF(A$5:A10,TRUE()),"")</f>
        <v/>
      </c>
    </row>
    <row r="11" customFormat="false" ht="15" hidden="false" customHeight="false" outlineLevel="0" collapsed="false">
      <c r="A11" s="8" t="b">
        <f aca="false">FALSE()</f>
        <v>0</v>
      </c>
      <c r="B11" s="9" t="s">
        <v>35</v>
      </c>
      <c r="C11" s="9" t="s">
        <v>36</v>
      </c>
      <c r="D11" s="9" t="s">
        <v>37</v>
      </c>
      <c r="E11" s="10" t="n">
        <v>12000</v>
      </c>
      <c r="F11" s="9" t="n">
        <v>2</v>
      </c>
      <c r="G11" s="11" t="n">
        <f aca="false">IF(C11="","",E11*F11)</f>
        <v>24000</v>
      </c>
      <c r="H11" s="12" t="str">
        <f aca="false">IF(AND(A11=TRUE(),C11&lt;&gt;""),COUNTIF(A$5:A11,TRUE()),"")</f>
        <v/>
      </c>
    </row>
    <row r="12" customFormat="false" ht="15" hidden="false" customHeight="false" outlineLevel="0" collapsed="false">
      <c r="A12" s="8" t="b">
        <f aca="false">FALSE()</f>
        <v>0</v>
      </c>
      <c r="B12" s="9" t="s">
        <v>35</v>
      </c>
      <c r="C12" s="9" t="s">
        <v>38</v>
      </c>
      <c r="D12" s="9" t="s">
        <v>26</v>
      </c>
      <c r="E12" s="10" t="n">
        <v>5000</v>
      </c>
      <c r="F12" s="9" t="n">
        <v>1</v>
      </c>
      <c r="G12" s="11" t="n">
        <f aca="false">IF(C12="","",E12*F12)</f>
        <v>5000</v>
      </c>
      <c r="H12" s="12" t="str">
        <f aca="false">IF(AND(A12=TRUE(),C12&lt;&gt;""),COUNTIF(A$5:A12,TRUE()),"")</f>
        <v/>
      </c>
    </row>
    <row r="13" customFormat="false" ht="15" hidden="false" customHeight="false" outlineLevel="0" collapsed="false">
      <c r="A13" s="8" t="b">
        <f aca="false">FALSE()</f>
        <v>0</v>
      </c>
      <c r="B13" s="9" t="s">
        <v>39</v>
      </c>
      <c r="C13" s="9" t="s">
        <v>40</v>
      </c>
      <c r="D13" s="9" t="s">
        <v>26</v>
      </c>
      <c r="E13" s="10" t="n">
        <v>10000</v>
      </c>
      <c r="F13" s="9" t="n">
        <v>1</v>
      </c>
      <c r="G13" s="11" t="n">
        <f aca="false">IF(C13="","",E13*F13)</f>
        <v>10000</v>
      </c>
      <c r="H13" s="12" t="str">
        <f aca="false">IF(AND(A13=TRUE(),C13&lt;&gt;""),COUNTIF(A$5:A13,TRUE()),"")</f>
        <v/>
      </c>
    </row>
    <row r="14" customFormat="false" ht="15" hidden="false" customHeight="false" outlineLevel="0" collapsed="false">
      <c r="A14" s="8" t="b">
        <f aca="false">FALSE()</f>
        <v>0</v>
      </c>
      <c r="B14" s="9" t="s">
        <v>39</v>
      </c>
      <c r="C14" s="9" t="s">
        <v>41</v>
      </c>
      <c r="D14" s="9" t="s">
        <v>42</v>
      </c>
      <c r="E14" s="10" t="n">
        <v>12000</v>
      </c>
      <c r="F14" s="9" t="n">
        <v>1</v>
      </c>
      <c r="G14" s="11" t="n">
        <f aca="false">IF(C14="","",E14*F14)</f>
        <v>12000</v>
      </c>
      <c r="H14" s="12" t="str">
        <f aca="false">IF(AND(A14=TRUE(),C14&lt;&gt;""),COUNTIF(A$5:A14,TRUE()),"")</f>
        <v/>
      </c>
    </row>
    <row r="15" customFormat="false" ht="15" hidden="false" customHeight="false" outlineLevel="0" collapsed="false">
      <c r="A15" s="8" t="b">
        <f aca="false">FALSE()</f>
        <v>0</v>
      </c>
      <c r="B15" s="9" t="s">
        <v>43</v>
      </c>
      <c r="C15" s="9" t="s">
        <v>44</v>
      </c>
      <c r="D15" s="9" t="s">
        <v>45</v>
      </c>
      <c r="E15" s="10" t="n">
        <v>30000</v>
      </c>
      <c r="F15" s="9" t="n">
        <v>1</v>
      </c>
      <c r="G15" s="11" t="n">
        <f aca="false">IF(C15="","",E15*F15)</f>
        <v>30000</v>
      </c>
      <c r="H15" s="12" t="str">
        <f aca="false">IF(AND(A15=TRUE(),C15&lt;&gt;""),COUNTIF(A$5:A15,TRUE()),"")</f>
        <v/>
      </c>
    </row>
    <row r="16" customFormat="false" ht="15" hidden="false" customHeight="false" outlineLevel="0" collapsed="false">
      <c r="A16" s="8" t="b">
        <f aca="false">FALSE()</f>
        <v>0</v>
      </c>
      <c r="B16" s="9" t="s">
        <v>43</v>
      </c>
      <c r="C16" s="9" t="s">
        <v>46</v>
      </c>
      <c r="D16" s="9" t="s">
        <v>33</v>
      </c>
      <c r="E16" s="10" t="n">
        <v>20000</v>
      </c>
      <c r="F16" s="9" t="n">
        <v>1</v>
      </c>
      <c r="G16" s="11" t="n">
        <f aca="false">IF(C16="","",E16*F16)</f>
        <v>20000</v>
      </c>
      <c r="H16" s="12" t="str">
        <f aca="false">IF(AND(A16=TRUE(),C16&lt;&gt;""),COUNTIF(A$5:A16,TRUE()),"")</f>
        <v/>
      </c>
    </row>
    <row r="17" customFormat="false" ht="15" hidden="false" customHeight="false" outlineLevel="0" collapsed="false">
      <c r="A17" s="8" t="b">
        <f aca="false">FALSE()</f>
        <v>0</v>
      </c>
      <c r="B17" s="9"/>
      <c r="C17" s="9"/>
      <c r="D17" s="9"/>
      <c r="E17" s="10"/>
      <c r="F17" s="9"/>
      <c r="G17" s="11" t="str">
        <f aca="false">IF(C17="","",E17*F17)</f>
        <v/>
      </c>
      <c r="H17" s="12" t="str">
        <f aca="false">IF(AND(A17=TRUE(),C17&lt;&gt;""),COUNTIF(A$5:A17,TRUE()),"")</f>
        <v/>
      </c>
    </row>
    <row r="18" customFormat="false" ht="15" hidden="false" customHeight="false" outlineLevel="0" collapsed="false">
      <c r="A18" s="8" t="b">
        <f aca="false">FALSE()</f>
        <v>0</v>
      </c>
      <c r="B18" s="9"/>
      <c r="C18" s="9"/>
      <c r="D18" s="9"/>
      <c r="E18" s="10"/>
      <c r="F18" s="9"/>
      <c r="G18" s="11" t="str">
        <f aca="false">IF(C18="","",E18*F18)</f>
        <v/>
      </c>
      <c r="H18" s="12" t="str">
        <f aca="false">IF(AND(A18=TRUE(),C18&lt;&gt;""),COUNTIF(A$5:A18,TRUE()),"")</f>
        <v/>
      </c>
    </row>
    <row r="19" customFormat="false" ht="15" hidden="false" customHeight="false" outlineLevel="0" collapsed="false">
      <c r="A19" s="8" t="b">
        <f aca="false">FALSE()</f>
        <v>0</v>
      </c>
      <c r="B19" s="9"/>
      <c r="C19" s="9"/>
      <c r="D19" s="9"/>
      <c r="E19" s="10"/>
      <c r="F19" s="9"/>
      <c r="G19" s="11" t="str">
        <f aca="false">IF(C19="","",E19*F19)</f>
        <v/>
      </c>
      <c r="H19" s="12" t="str">
        <f aca="false">IF(AND(A19=TRUE(),C19&lt;&gt;""),COUNTIF(A$5:A19,TRUE()),"")</f>
        <v/>
      </c>
    </row>
    <row r="20" customFormat="false" ht="15" hidden="false" customHeight="false" outlineLevel="0" collapsed="false">
      <c r="A20" s="8" t="b">
        <f aca="false">FALSE()</f>
        <v>0</v>
      </c>
      <c r="B20" s="9"/>
      <c r="C20" s="9"/>
      <c r="D20" s="9"/>
      <c r="E20" s="10"/>
      <c r="F20" s="9"/>
      <c r="G20" s="11" t="str">
        <f aca="false">IF(C20="","",E20*F20)</f>
        <v/>
      </c>
      <c r="H20" s="12" t="str">
        <f aca="false">IF(AND(A20=TRUE(),C20&lt;&gt;""),COUNTIF(A$5:A20,TRUE()),"")</f>
        <v/>
      </c>
    </row>
    <row r="21" customFormat="false" ht="15" hidden="false" customHeight="false" outlineLevel="0" collapsed="false">
      <c r="A21" s="8" t="b">
        <f aca="false">FALSE()</f>
        <v>0</v>
      </c>
      <c r="B21" s="9"/>
      <c r="C21" s="9"/>
      <c r="D21" s="9"/>
      <c r="E21" s="10"/>
      <c r="F21" s="9"/>
      <c r="G21" s="11" t="str">
        <f aca="false">IF(C21="","",E21*F21)</f>
        <v/>
      </c>
      <c r="H21" s="12" t="str">
        <f aca="false">IF(AND(A21=TRUE(),C21&lt;&gt;""),COUNTIF(A$5:A21,TRUE()),"")</f>
        <v/>
      </c>
    </row>
    <row r="22" customFormat="false" ht="15" hidden="false" customHeight="false" outlineLevel="0" collapsed="false">
      <c r="A22" s="8" t="b">
        <f aca="false">FALSE()</f>
        <v>0</v>
      </c>
      <c r="B22" s="9"/>
      <c r="C22" s="9"/>
      <c r="D22" s="9"/>
      <c r="E22" s="10"/>
      <c r="F22" s="9"/>
      <c r="G22" s="11" t="str">
        <f aca="false">IF(C22="","",E22*F22)</f>
        <v/>
      </c>
      <c r="H22" s="12" t="str">
        <f aca="false">IF(AND(A22=TRUE(),C22&lt;&gt;""),COUNTIF(A$5:A22,TRUE()),"")</f>
        <v/>
      </c>
    </row>
    <row r="23" customFormat="false" ht="15" hidden="false" customHeight="false" outlineLevel="0" collapsed="false">
      <c r="A23" s="8" t="b">
        <f aca="false">FALSE()</f>
        <v>0</v>
      </c>
      <c r="B23" s="9"/>
      <c r="C23" s="9"/>
      <c r="D23" s="9"/>
      <c r="E23" s="10"/>
      <c r="F23" s="9"/>
      <c r="G23" s="11" t="str">
        <f aca="false">IF(C23="","",E23*F23)</f>
        <v/>
      </c>
      <c r="H23" s="12" t="str">
        <f aca="false">IF(AND(A23=TRUE(),C23&lt;&gt;""),COUNTIF(A$5:A23,TRUE()),"")</f>
        <v/>
      </c>
    </row>
    <row r="24" customFormat="false" ht="15" hidden="false" customHeight="false" outlineLevel="0" collapsed="false">
      <c r="A24" s="8" t="b">
        <f aca="false">FALSE()</f>
        <v>0</v>
      </c>
      <c r="B24" s="9"/>
      <c r="C24" s="9"/>
      <c r="D24" s="9"/>
      <c r="E24" s="10"/>
      <c r="F24" s="9"/>
      <c r="G24" s="11" t="str">
        <f aca="false">IF(C24="","",E24*F24)</f>
        <v/>
      </c>
      <c r="H24" s="12" t="str">
        <f aca="false">IF(AND(A24=TRUE(),C24&lt;&gt;""),COUNTIF(A$5:A24,TRUE()),"")</f>
        <v/>
      </c>
    </row>
    <row r="25" customFormat="false" ht="15" hidden="false" customHeight="false" outlineLevel="0" collapsed="false">
      <c r="A25" s="8" t="b">
        <f aca="false">FALSE()</f>
        <v>0</v>
      </c>
      <c r="B25" s="9"/>
      <c r="C25" s="9"/>
      <c r="D25" s="9"/>
      <c r="E25" s="10"/>
      <c r="F25" s="9"/>
      <c r="G25" s="11" t="str">
        <f aca="false">IF(C25="","",E25*F25)</f>
        <v/>
      </c>
      <c r="H25" s="12" t="str">
        <f aca="false">IF(AND(A25=TRUE(),C25&lt;&gt;""),COUNTIF(A$5:A25,TRUE()),"")</f>
        <v/>
      </c>
    </row>
    <row r="26" customFormat="false" ht="15" hidden="false" customHeight="false" outlineLevel="0" collapsed="false">
      <c r="A26" s="8" t="b">
        <f aca="false">FALSE()</f>
        <v>0</v>
      </c>
      <c r="B26" s="9"/>
      <c r="C26" s="9"/>
      <c r="D26" s="9"/>
      <c r="E26" s="10"/>
      <c r="F26" s="9"/>
      <c r="G26" s="11" t="str">
        <f aca="false">IF(C26="","",E26*F26)</f>
        <v/>
      </c>
      <c r="H26" s="12" t="str">
        <f aca="false">IF(AND(A26=TRUE(),C26&lt;&gt;""),COUNTIF(A$5:A26,TRUE()),"")</f>
        <v/>
      </c>
    </row>
    <row r="27" customFormat="false" ht="15" hidden="false" customHeight="false" outlineLevel="0" collapsed="false">
      <c r="A27" s="8" t="b">
        <f aca="false">FALSE()</f>
        <v>0</v>
      </c>
      <c r="B27" s="9"/>
      <c r="C27" s="9"/>
      <c r="D27" s="9"/>
      <c r="E27" s="10"/>
      <c r="F27" s="9"/>
      <c r="G27" s="11" t="str">
        <f aca="false">IF(C27="","",E27*F27)</f>
        <v/>
      </c>
      <c r="H27" s="12" t="str">
        <f aca="false">IF(AND(A27=TRUE(),C27&lt;&gt;""),COUNTIF(A$5:A27,TRUE()),"")</f>
        <v/>
      </c>
    </row>
    <row r="28" customFormat="false" ht="15" hidden="false" customHeight="false" outlineLevel="0" collapsed="false">
      <c r="A28" s="8" t="b">
        <f aca="false">FALSE()</f>
        <v>0</v>
      </c>
      <c r="B28" s="9"/>
      <c r="C28" s="9"/>
      <c r="D28" s="9"/>
      <c r="E28" s="10"/>
      <c r="F28" s="9"/>
      <c r="G28" s="11" t="str">
        <f aca="false">IF(C28="","",E28*F28)</f>
        <v/>
      </c>
      <c r="H28" s="12" t="str">
        <f aca="false">IF(AND(A28=TRUE(),C28&lt;&gt;""),COUNTIF(A$5:A28,TRUE()),"")</f>
        <v/>
      </c>
    </row>
    <row r="29" customFormat="false" ht="15" hidden="false" customHeight="false" outlineLevel="0" collapsed="false">
      <c r="A29" s="8" t="b">
        <f aca="false">FALSE()</f>
        <v>0</v>
      </c>
      <c r="B29" s="9"/>
      <c r="C29" s="9"/>
      <c r="D29" s="9"/>
      <c r="E29" s="10"/>
      <c r="F29" s="9"/>
      <c r="G29" s="11" t="str">
        <f aca="false">IF(C29="","",E29*F29)</f>
        <v/>
      </c>
      <c r="H29" s="12" t="str">
        <f aca="false">IF(AND(A29=TRUE(),C29&lt;&gt;""),COUNTIF(A$5:A29,TRUE()),"")</f>
        <v/>
      </c>
    </row>
    <row r="30" customFormat="false" ht="15" hidden="false" customHeight="false" outlineLevel="0" collapsed="false">
      <c r="A30" s="8" t="b">
        <f aca="false">FALSE()</f>
        <v>0</v>
      </c>
      <c r="B30" s="9"/>
      <c r="C30" s="9"/>
      <c r="D30" s="9"/>
      <c r="E30" s="10"/>
      <c r="F30" s="9"/>
      <c r="G30" s="11" t="str">
        <f aca="false">IF(C30="","",E30*F30)</f>
        <v/>
      </c>
      <c r="H30" s="12" t="str">
        <f aca="false">IF(AND(A30=TRUE(),C30&lt;&gt;""),COUNTIF(A$5:A30,TRUE()),"")</f>
        <v/>
      </c>
    </row>
    <row r="31" customFormat="false" ht="15" hidden="false" customHeight="false" outlineLevel="0" collapsed="false">
      <c r="A31" s="8" t="b">
        <f aca="false">FALSE()</f>
        <v>0</v>
      </c>
      <c r="B31" s="9"/>
      <c r="C31" s="9"/>
      <c r="D31" s="9"/>
      <c r="E31" s="10"/>
      <c r="F31" s="9"/>
      <c r="G31" s="11" t="str">
        <f aca="false">IF(C31="","",E31*F31)</f>
        <v/>
      </c>
      <c r="H31" s="12" t="str">
        <f aca="false">IF(AND(A31=TRUE(),C31&lt;&gt;""),COUNTIF(A$5:A31,TRUE()),"")</f>
        <v/>
      </c>
    </row>
    <row r="32" customFormat="false" ht="15" hidden="false" customHeight="false" outlineLevel="0" collapsed="false">
      <c r="A32" s="8" t="b">
        <f aca="false">FALSE()</f>
        <v>0</v>
      </c>
      <c r="B32" s="9"/>
      <c r="C32" s="9"/>
      <c r="D32" s="9"/>
      <c r="E32" s="10"/>
      <c r="F32" s="9"/>
      <c r="G32" s="11" t="str">
        <f aca="false">IF(C32="","",E32*F32)</f>
        <v/>
      </c>
      <c r="H32" s="12" t="str">
        <f aca="false">IF(AND(A32=TRUE(),C32&lt;&gt;""),COUNTIF(A$5:A32,TRUE()),"")</f>
        <v/>
      </c>
    </row>
    <row r="33" customFormat="false" ht="15" hidden="false" customHeight="false" outlineLevel="0" collapsed="false">
      <c r="A33" s="8" t="b">
        <f aca="false">FALSE()</f>
        <v>0</v>
      </c>
      <c r="B33" s="9"/>
      <c r="C33" s="9"/>
      <c r="D33" s="9"/>
      <c r="E33" s="10"/>
      <c r="F33" s="9"/>
      <c r="G33" s="11" t="str">
        <f aca="false">IF(C33="","",E33*F33)</f>
        <v/>
      </c>
      <c r="H33" s="12" t="str">
        <f aca="false">IF(AND(A33=TRUE(),C33&lt;&gt;""),COUNTIF(A$5:A33,TRUE()),"")</f>
        <v/>
      </c>
    </row>
    <row r="34" customFormat="false" ht="15" hidden="false" customHeight="false" outlineLevel="0" collapsed="false">
      <c r="A34" s="8" t="b">
        <f aca="false">FALSE()</f>
        <v>0</v>
      </c>
      <c r="B34" s="9"/>
      <c r="C34" s="9"/>
      <c r="D34" s="9"/>
      <c r="E34" s="10"/>
      <c r="F34" s="9"/>
      <c r="G34" s="11" t="str">
        <f aca="false">IF(C34="","",E34*F34)</f>
        <v/>
      </c>
      <c r="H34" s="12" t="str">
        <f aca="false">IF(AND(A34=TRUE(),C34&lt;&gt;""),COUNTIF(A$5:A34,TRUE()),"")</f>
        <v/>
      </c>
    </row>
    <row r="35" customFormat="false" ht="15" hidden="false" customHeight="false" outlineLevel="0" collapsed="false">
      <c r="A35" s="8" t="b">
        <f aca="false">FALSE()</f>
        <v>0</v>
      </c>
      <c r="B35" s="9"/>
      <c r="C35" s="9"/>
      <c r="D35" s="9"/>
      <c r="E35" s="10"/>
      <c r="F35" s="9"/>
      <c r="G35" s="11" t="str">
        <f aca="false">IF(C35="","",E35*F35)</f>
        <v/>
      </c>
      <c r="H35" s="12" t="str">
        <f aca="false">IF(AND(A35=TRUE(),C35&lt;&gt;""),COUNTIF(A$5:A35,TRUE()),"")</f>
        <v/>
      </c>
    </row>
    <row r="36" customFormat="false" ht="15" hidden="false" customHeight="false" outlineLevel="0" collapsed="false">
      <c r="A36" s="8" t="b">
        <f aca="false">FALSE()</f>
        <v>0</v>
      </c>
      <c r="B36" s="9"/>
      <c r="C36" s="9"/>
      <c r="D36" s="9"/>
      <c r="E36" s="10"/>
      <c r="F36" s="9"/>
      <c r="G36" s="11" t="str">
        <f aca="false">IF(C36="","",E36*F36)</f>
        <v/>
      </c>
      <c r="H36" s="12" t="str">
        <f aca="false">IF(AND(A36=TRUE(),C36&lt;&gt;""),COUNTIF(A$5:A36,TRUE()),"")</f>
        <v/>
      </c>
    </row>
    <row r="37" customFormat="false" ht="15" hidden="false" customHeight="false" outlineLevel="0" collapsed="false">
      <c r="A37" s="8" t="b">
        <f aca="false">FALSE()</f>
        <v>0</v>
      </c>
      <c r="B37" s="9"/>
      <c r="C37" s="9"/>
      <c r="D37" s="9"/>
      <c r="E37" s="10"/>
      <c r="F37" s="9"/>
      <c r="G37" s="11" t="str">
        <f aca="false">IF(C37="","",E37*F37)</f>
        <v/>
      </c>
      <c r="H37" s="12" t="str">
        <f aca="false">IF(AND(A37=TRUE(),C37&lt;&gt;""),COUNTIF(A$5:A37,TRUE()),"")</f>
        <v/>
      </c>
    </row>
    <row r="38" customFormat="false" ht="15" hidden="false" customHeight="false" outlineLevel="0" collapsed="false">
      <c r="A38" s="8" t="b">
        <f aca="false">FALSE()</f>
        <v>0</v>
      </c>
      <c r="B38" s="9"/>
      <c r="C38" s="9"/>
      <c r="D38" s="9"/>
      <c r="E38" s="10"/>
      <c r="F38" s="9"/>
      <c r="G38" s="11" t="str">
        <f aca="false">IF(C38="","",E38*F38)</f>
        <v/>
      </c>
      <c r="H38" s="12" t="str">
        <f aca="false">IF(AND(A38=TRUE(),C38&lt;&gt;""),COUNTIF(A$5:A38,TRUE()),"")</f>
        <v/>
      </c>
    </row>
    <row r="39" customFormat="false" ht="15" hidden="false" customHeight="false" outlineLevel="0" collapsed="false">
      <c r="A39" s="8" t="b">
        <f aca="false">FALSE()</f>
        <v>0</v>
      </c>
      <c r="B39" s="9"/>
      <c r="C39" s="9"/>
      <c r="D39" s="9"/>
      <c r="E39" s="10"/>
      <c r="F39" s="9"/>
      <c r="G39" s="11" t="str">
        <f aca="false">IF(C39="","",E39*F39)</f>
        <v/>
      </c>
      <c r="H39" s="12" t="str">
        <f aca="false">IF(AND(A39=TRUE(),C39&lt;&gt;""),COUNTIF(A$5:A39,TRUE()),"")</f>
        <v/>
      </c>
    </row>
    <row r="40" customFormat="false" ht="15" hidden="false" customHeight="false" outlineLevel="0" collapsed="false">
      <c r="A40" s="8" t="b">
        <f aca="false">FALSE()</f>
        <v>0</v>
      </c>
      <c r="B40" s="9"/>
      <c r="C40" s="9"/>
      <c r="D40" s="9"/>
      <c r="E40" s="10"/>
      <c r="F40" s="9"/>
      <c r="G40" s="11" t="str">
        <f aca="false">IF(C40="","",E40*F40)</f>
        <v/>
      </c>
      <c r="H40" s="12" t="str">
        <f aca="false">IF(AND(A40=TRUE(),C40&lt;&gt;""),COUNTIF(A$5:A40,TRUE()),"")</f>
        <v/>
      </c>
    </row>
    <row r="41" customFormat="false" ht="15" hidden="false" customHeight="false" outlineLevel="0" collapsed="false">
      <c r="A41" s="8" t="b">
        <f aca="false">FALSE()</f>
        <v>0</v>
      </c>
      <c r="B41" s="9"/>
      <c r="C41" s="9"/>
      <c r="D41" s="9"/>
      <c r="E41" s="10"/>
      <c r="F41" s="9"/>
      <c r="G41" s="11" t="str">
        <f aca="false">IF(C41="","",E41*F41)</f>
        <v/>
      </c>
      <c r="H41" s="12" t="str">
        <f aca="false">IF(AND(A41=TRUE(),C41&lt;&gt;""),COUNTIF(A$5:A41,TRUE()),"")</f>
        <v/>
      </c>
    </row>
    <row r="42" customFormat="false" ht="15" hidden="false" customHeight="false" outlineLevel="0" collapsed="false">
      <c r="A42" s="8" t="b">
        <f aca="false">FALSE()</f>
        <v>0</v>
      </c>
      <c r="B42" s="9"/>
      <c r="C42" s="9"/>
      <c r="D42" s="9"/>
      <c r="E42" s="10"/>
      <c r="F42" s="9"/>
      <c r="G42" s="11" t="str">
        <f aca="false">IF(C42="","",E42*F42)</f>
        <v/>
      </c>
      <c r="H42" s="12" t="str">
        <f aca="false">IF(AND(A42=TRUE(),C42&lt;&gt;""),COUNTIF(A$5:A42,TRUE()),"")</f>
        <v/>
      </c>
    </row>
    <row r="43" customFormat="false" ht="15" hidden="false" customHeight="false" outlineLevel="0" collapsed="false">
      <c r="A43" s="8" t="b">
        <f aca="false">FALSE()</f>
        <v>0</v>
      </c>
      <c r="B43" s="9"/>
      <c r="C43" s="9"/>
      <c r="D43" s="9"/>
      <c r="E43" s="10"/>
      <c r="F43" s="9"/>
      <c r="G43" s="11" t="str">
        <f aca="false">IF(C43="","",E43*F43)</f>
        <v/>
      </c>
      <c r="H43" s="12" t="str">
        <f aca="false">IF(AND(A43=TRUE(),C43&lt;&gt;""),COUNTIF(A$5:A43,TRUE()),"")</f>
        <v/>
      </c>
    </row>
    <row r="44" customFormat="false" ht="15" hidden="false" customHeight="false" outlineLevel="0" collapsed="false">
      <c r="A44" s="8" t="b">
        <f aca="false">FALSE()</f>
        <v>0</v>
      </c>
      <c r="B44" s="9"/>
      <c r="C44" s="9"/>
      <c r="D44" s="9"/>
      <c r="E44" s="10"/>
      <c r="F44" s="9"/>
      <c r="G44" s="11" t="str">
        <f aca="false">IF(C44="","",E44*F44)</f>
        <v/>
      </c>
      <c r="H44" s="12" t="str">
        <f aca="false">IF(AND(A44=TRUE(),C44&lt;&gt;""),COUNTIF(A$5:A44,TRUE()),"")</f>
        <v/>
      </c>
    </row>
    <row r="45" customFormat="false" ht="15" hidden="false" customHeight="false" outlineLevel="0" collapsed="false">
      <c r="A45" s="8" t="b">
        <f aca="false">FALSE()</f>
        <v>0</v>
      </c>
      <c r="B45" s="9"/>
      <c r="C45" s="9"/>
      <c r="D45" s="9"/>
      <c r="E45" s="10"/>
      <c r="F45" s="9"/>
      <c r="G45" s="11" t="str">
        <f aca="false">IF(C45="","",E45*F45)</f>
        <v/>
      </c>
      <c r="H45" s="12" t="str">
        <f aca="false">IF(AND(A45=TRUE(),C45&lt;&gt;""),COUNTIF(A$5:A45,TRUE()),"")</f>
        <v/>
      </c>
    </row>
    <row r="46" customFormat="false" ht="15" hidden="false" customHeight="false" outlineLevel="0" collapsed="false">
      <c r="A46" s="8" t="b">
        <f aca="false">FALSE()</f>
        <v>0</v>
      </c>
      <c r="B46" s="9"/>
      <c r="C46" s="9"/>
      <c r="D46" s="9"/>
      <c r="E46" s="10"/>
      <c r="F46" s="9"/>
      <c r="G46" s="11" t="str">
        <f aca="false">IF(C46="","",E46*F46)</f>
        <v/>
      </c>
      <c r="H46" s="12" t="str">
        <f aca="false">IF(AND(A46=TRUE(),C46&lt;&gt;""),COUNTIF(A$5:A46,TRUE()),"")</f>
        <v/>
      </c>
    </row>
    <row r="47" customFormat="false" ht="15" hidden="false" customHeight="false" outlineLevel="0" collapsed="false">
      <c r="A47" s="8" t="b">
        <f aca="false">FALSE()</f>
        <v>0</v>
      </c>
      <c r="B47" s="9"/>
      <c r="C47" s="9"/>
      <c r="D47" s="9"/>
      <c r="E47" s="10"/>
      <c r="F47" s="9"/>
      <c r="G47" s="11" t="str">
        <f aca="false">IF(C47="","",E47*F47)</f>
        <v/>
      </c>
      <c r="H47" s="12" t="str">
        <f aca="false">IF(AND(A47=TRUE(),C47&lt;&gt;""),COUNTIF(A$5:A47,TRUE()),"")</f>
        <v/>
      </c>
    </row>
    <row r="48" customFormat="false" ht="15" hidden="false" customHeight="false" outlineLevel="0" collapsed="false">
      <c r="A48" s="8" t="b">
        <f aca="false">FALSE()</f>
        <v>0</v>
      </c>
      <c r="B48" s="9"/>
      <c r="C48" s="9"/>
      <c r="D48" s="9"/>
      <c r="E48" s="10"/>
      <c r="F48" s="9"/>
      <c r="G48" s="11" t="str">
        <f aca="false">IF(C48="","",E48*F48)</f>
        <v/>
      </c>
      <c r="H48" s="12" t="str">
        <f aca="false">IF(AND(A48=TRUE(),C48&lt;&gt;""),COUNTIF(A$5:A48,TRUE()),"")</f>
        <v/>
      </c>
    </row>
    <row r="49" customFormat="false" ht="15" hidden="false" customHeight="false" outlineLevel="0" collapsed="false">
      <c r="A49" s="8" t="b">
        <f aca="false">FALSE()</f>
        <v>0</v>
      </c>
      <c r="B49" s="9"/>
      <c r="C49" s="9"/>
      <c r="D49" s="9"/>
      <c r="E49" s="10"/>
      <c r="F49" s="9"/>
      <c r="G49" s="11" t="str">
        <f aca="false">IF(C49="","",E49*F49)</f>
        <v/>
      </c>
      <c r="H49" s="12" t="str">
        <f aca="false">IF(AND(A49=TRUE(),C49&lt;&gt;""),COUNTIF(A$5:A49,TRUE()),"")</f>
        <v/>
      </c>
    </row>
    <row r="50" customFormat="false" ht="15" hidden="false" customHeight="false" outlineLevel="0" collapsed="false">
      <c r="A50" s="8" t="b">
        <f aca="false">FALSE()</f>
        <v>0</v>
      </c>
      <c r="B50" s="9"/>
      <c r="C50" s="9"/>
      <c r="D50" s="9"/>
      <c r="E50" s="10"/>
      <c r="F50" s="9"/>
      <c r="G50" s="11" t="str">
        <f aca="false">IF(C50="","",E50*F50)</f>
        <v/>
      </c>
      <c r="H50" s="12" t="str">
        <f aca="false">IF(AND(A50=TRUE(),C50&lt;&gt;""),COUNTIF(A$5:A50,TRUE()),"")</f>
        <v/>
      </c>
    </row>
    <row r="51" customFormat="false" ht="15" hidden="false" customHeight="false" outlineLevel="0" collapsed="false">
      <c r="A51" s="8" t="b">
        <f aca="false">FALSE()</f>
        <v>0</v>
      </c>
      <c r="B51" s="9"/>
      <c r="C51" s="9"/>
      <c r="D51" s="9"/>
      <c r="E51" s="10"/>
      <c r="F51" s="9"/>
      <c r="G51" s="11" t="str">
        <f aca="false">IF(C51="","",E51*F51)</f>
        <v/>
      </c>
      <c r="H51" s="12" t="str">
        <f aca="false">IF(AND(A51=TRUE(),C51&lt;&gt;""),COUNTIF(A$5:A51,TRUE()),"")</f>
        <v/>
      </c>
    </row>
    <row r="52" customFormat="false" ht="15" hidden="false" customHeight="false" outlineLevel="0" collapsed="false">
      <c r="A52" s="8" t="b">
        <f aca="false">FALSE()</f>
        <v>0</v>
      </c>
      <c r="B52" s="9"/>
      <c r="C52" s="9"/>
      <c r="D52" s="9"/>
      <c r="E52" s="10"/>
      <c r="F52" s="9"/>
      <c r="G52" s="11" t="str">
        <f aca="false">IF(C52="","",E52*F52)</f>
        <v/>
      </c>
      <c r="H52" s="12" t="str">
        <f aca="false">IF(AND(A52=TRUE(),C52&lt;&gt;""),COUNTIF(A$5:A52,TRUE()),"")</f>
        <v/>
      </c>
    </row>
    <row r="53" customFormat="false" ht="15" hidden="false" customHeight="false" outlineLevel="0" collapsed="false">
      <c r="A53" s="8" t="b">
        <f aca="false">FALSE()</f>
        <v>0</v>
      </c>
      <c r="B53" s="9"/>
      <c r="C53" s="9"/>
      <c r="D53" s="9"/>
      <c r="E53" s="10"/>
      <c r="F53" s="9"/>
      <c r="G53" s="11" t="str">
        <f aca="false">IF(C53="","",E53*F53)</f>
        <v/>
      </c>
      <c r="H53" s="12" t="str">
        <f aca="false">IF(AND(A53=TRUE(),C53&lt;&gt;""),COUNTIF(A$5:A53,TRUE()),"")</f>
        <v/>
      </c>
    </row>
    <row r="54" customFormat="false" ht="15" hidden="false" customHeight="false" outlineLevel="0" collapsed="false">
      <c r="A54" s="8" t="b">
        <f aca="false">FALSE()</f>
        <v>0</v>
      </c>
      <c r="B54" s="9"/>
      <c r="C54" s="9"/>
      <c r="D54" s="9"/>
      <c r="E54" s="10"/>
      <c r="F54" s="9"/>
      <c r="G54" s="11" t="str">
        <f aca="false">IF(C54="","",E54*F54)</f>
        <v/>
      </c>
      <c r="H54" s="12" t="str">
        <f aca="false">IF(AND(A54=TRUE(),C54&lt;&gt;""),COUNTIF(A$5:A54,TRUE()),"")</f>
        <v/>
      </c>
    </row>
    <row r="55" customFormat="false" ht="15" hidden="false" customHeight="false" outlineLevel="0" collapsed="false">
      <c r="A55" s="8" t="b">
        <f aca="false">FALSE()</f>
        <v>0</v>
      </c>
      <c r="B55" s="9"/>
      <c r="C55" s="9"/>
      <c r="D55" s="9"/>
      <c r="E55" s="10"/>
      <c r="F55" s="9"/>
      <c r="G55" s="11" t="str">
        <f aca="false">IF(C55="","",E55*F55)</f>
        <v/>
      </c>
      <c r="H55" s="12" t="str">
        <f aca="false">IF(AND(A55=TRUE(),C55&lt;&gt;""),COUNTIF(A$5:A55,TRUE()),"")</f>
        <v/>
      </c>
    </row>
    <row r="56" customFormat="false" ht="15" hidden="false" customHeight="false" outlineLevel="0" collapsed="false">
      <c r="A56" s="8" t="b">
        <f aca="false">FALSE()</f>
        <v>0</v>
      </c>
      <c r="B56" s="9"/>
      <c r="C56" s="9"/>
      <c r="D56" s="9"/>
      <c r="E56" s="10"/>
      <c r="F56" s="9"/>
      <c r="G56" s="11" t="str">
        <f aca="false">IF(C56="","",E56*F56)</f>
        <v/>
      </c>
      <c r="H56" s="12" t="str">
        <f aca="false">IF(AND(A56=TRUE(),C56&lt;&gt;""),COUNTIF(A$5:A56,TRUE()),"")</f>
        <v/>
      </c>
    </row>
    <row r="57" customFormat="false" ht="15" hidden="false" customHeight="false" outlineLevel="0" collapsed="false">
      <c r="A57" s="8" t="b">
        <f aca="false">FALSE()</f>
        <v>0</v>
      </c>
      <c r="B57" s="9"/>
      <c r="C57" s="9"/>
      <c r="D57" s="9"/>
      <c r="E57" s="10"/>
      <c r="F57" s="9"/>
      <c r="G57" s="11" t="str">
        <f aca="false">IF(C57="","",E57*F57)</f>
        <v/>
      </c>
      <c r="H57" s="12" t="str">
        <f aca="false">IF(AND(A57=TRUE(),C57&lt;&gt;""),COUNTIF(A$5:A57,TRUE()),"")</f>
        <v/>
      </c>
    </row>
    <row r="58" customFormat="false" ht="15" hidden="false" customHeight="false" outlineLevel="0" collapsed="false">
      <c r="A58" s="8" t="b">
        <f aca="false">FALSE()</f>
        <v>0</v>
      </c>
      <c r="B58" s="9"/>
      <c r="C58" s="9"/>
      <c r="D58" s="9"/>
      <c r="E58" s="10"/>
      <c r="F58" s="9"/>
      <c r="G58" s="11" t="str">
        <f aca="false">IF(C58="","",E58*F58)</f>
        <v/>
      </c>
      <c r="H58" s="12" t="str">
        <f aca="false">IF(AND(A58=TRUE(),C58&lt;&gt;""),COUNTIF(A$5:A58,TRUE()),"")</f>
        <v/>
      </c>
    </row>
    <row r="59" customFormat="false" ht="15" hidden="false" customHeight="false" outlineLevel="0" collapsed="false">
      <c r="A59" s="8" t="b">
        <f aca="false">FALSE()</f>
        <v>0</v>
      </c>
      <c r="B59" s="9"/>
      <c r="C59" s="9"/>
      <c r="D59" s="9"/>
      <c r="E59" s="10"/>
      <c r="F59" s="9"/>
      <c r="G59" s="11" t="str">
        <f aca="false">IF(C59="","",E59*F59)</f>
        <v/>
      </c>
      <c r="H59" s="12" t="str">
        <f aca="false">IF(AND(A59=TRUE(),C59&lt;&gt;""),COUNTIF(A$5:A59,TRUE()),"")</f>
        <v/>
      </c>
    </row>
    <row r="60" customFormat="false" ht="15" hidden="false" customHeight="false" outlineLevel="0" collapsed="false">
      <c r="A60" s="8" t="b">
        <f aca="false">FALSE()</f>
        <v>0</v>
      </c>
      <c r="B60" s="9"/>
      <c r="C60" s="9"/>
      <c r="D60" s="9"/>
      <c r="E60" s="10"/>
      <c r="F60" s="9"/>
      <c r="G60" s="11" t="str">
        <f aca="false">IF(C60="","",E60*F60)</f>
        <v/>
      </c>
      <c r="H60" s="12" t="str">
        <f aca="false">IF(AND(A60=TRUE(),C60&lt;&gt;""),COUNTIF(A$5:A60,TRUE()),"")</f>
        <v/>
      </c>
    </row>
    <row r="61" customFormat="false" ht="15" hidden="false" customHeight="false" outlineLevel="0" collapsed="false">
      <c r="A61" s="8" t="b">
        <f aca="false">FALSE()</f>
        <v>0</v>
      </c>
      <c r="B61" s="9"/>
      <c r="C61" s="9"/>
      <c r="D61" s="9"/>
      <c r="E61" s="10"/>
      <c r="F61" s="9"/>
      <c r="G61" s="11" t="str">
        <f aca="false">IF(C61="","",E61*F61)</f>
        <v/>
      </c>
      <c r="H61" s="12" t="str">
        <f aca="false">IF(AND(A61=TRUE(),C61&lt;&gt;""),COUNTIF(A$5:A61,TRUE()),"")</f>
        <v/>
      </c>
    </row>
    <row r="62" customFormat="false" ht="15" hidden="false" customHeight="false" outlineLevel="0" collapsed="false">
      <c r="A62" s="8" t="b">
        <f aca="false">FALSE()</f>
        <v>0</v>
      </c>
      <c r="B62" s="9"/>
      <c r="C62" s="9"/>
      <c r="D62" s="9"/>
      <c r="E62" s="10"/>
      <c r="F62" s="9"/>
      <c r="G62" s="11" t="str">
        <f aca="false">IF(C62="","",E62*F62)</f>
        <v/>
      </c>
      <c r="H62" s="12" t="str">
        <f aca="false">IF(AND(A62=TRUE(),C62&lt;&gt;""),COUNTIF(A$5:A62,TRUE()),"")</f>
        <v/>
      </c>
    </row>
    <row r="63" customFormat="false" ht="15" hidden="false" customHeight="false" outlineLevel="0" collapsed="false">
      <c r="A63" s="8" t="b">
        <f aca="false">FALSE()</f>
        <v>0</v>
      </c>
      <c r="B63" s="9"/>
      <c r="C63" s="9"/>
      <c r="D63" s="9"/>
      <c r="E63" s="10"/>
      <c r="F63" s="9"/>
      <c r="G63" s="11" t="str">
        <f aca="false">IF(C63="","",E63*F63)</f>
        <v/>
      </c>
      <c r="H63" s="12" t="str">
        <f aca="false">IF(AND(A63=TRUE(),C63&lt;&gt;""),COUNTIF(A$5:A63,TRUE()),"")</f>
        <v/>
      </c>
    </row>
    <row r="64" customFormat="false" ht="15" hidden="false" customHeight="false" outlineLevel="0" collapsed="false">
      <c r="A64" s="8" t="b">
        <f aca="false">FALSE()</f>
        <v>0</v>
      </c>
      <c r="B64" s="9"/>
      <c r="C64" s="9"/>
      <c r="D64" s="9"/>
      <c r="E64" s="10"/>
      <c r="F64" s="9"/>
      <c r="G64" s="11" t="str">
        <f aca="false">IF(C64="","",E64*F64)</f>
        <v/>
      </c>
      <c r="H64" s="12" t="str">
        <f aca="false">IF(AND(A64=TRUE(),C64&lt;&gt;""),COUNTIF(A$5:A64,TRUE()),"")</f>
        <v/>
      </c>
    </row>
    <row r="66" customFormat="false" ht="15" hidden="false" customHeight="false" outlineLevel="0" collapsed="false">
      <c r="F66" s="13" t="s">
        <v>47</v>
      </c>
      <c r="G66" s="13" t="n">
        <f aca="false">COUNTIF(A5:A64,TRUE())</f>
        <v>0</v>
      </c>
      <c r="H66" s="14" t="str">
        <f aca="false">IF(G66&gt;20,"⚠ 20件まで","")</f>
        <v/>
      </c>
    </row>
  </sheetData>
  <conditionalFormatting sqref="B5:G64">
    <cfRule type="expression" priority="2" aboveAverage="0" equalAverage="0" bottom="0" percent="0" rank="0" text="" dxfId="0">
      <formula>$A5=1</formula>
    </cfRule>
  </conditionalFormatting>
  <dataValidations count="1">
    <dataValidation allowBlank="true" errorStyle="stop" operator="between" showDropDown="false" showErrorMessage="false" showInputMessage="false" sqref="A5:A64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8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3"/>
  </cols>
  <sheetData>
    <row r="1" customFormat="false" ht="24.45" hidden="false" customHeight="false" outlineLevel="0" collapsed="false">
      <c r="A1" s="15" t="s">
        <v>48</v>
      </c>
      <c r="B1" s="15"/>
      <c r="C1" s="15"/>
      <c r="D1" s="15"/>
      <c r="E1" s="15"/>
      <c r="F1" s="15"/>
    </row>
    <row r="3" customFormat="false" ht="17.35" hidden="false" customHeight="false" outlineLevel="0" collapsed="false">
      <c r="A3" s="16" t="s">
        <v>49</v>
      </c>
      <c r="B3" s="16"/>
      <c r="C3" s="16"/>
      <c r="D3" s="17" t="s">
        <v>50</v>
      </c>
      <c r="E3" s="18" t="s">
        <v>51</v>
      </c>
      <c r="F3" s="19" t="s">
        <v>52</v>
      </c>
      <c r="H3" s="18" t="s">
        <v>53</v>
      </c>
      <c r="I3" s="20" t="n">
        <v>0.1</v>
      </c>
    </row>
    <row r="4" customFormat="false" ht="15" hidden="false" customHeight="false" outlineLevel="0" collapsed="false">
      <c r="A4" s="21" t="s">
        <v>54</v>
      </c>
      <c r="B4" s="21"/>
      <c r="C4" s="21"/>
      <c r="E4" s="18" t="s">
        <v>55</v>
      </c>
      <c r="F4" s="22" t="n">
        <f aca="true">TODAY()</f>
        <v>46304</v>
      </c>
    </row>
    <row r="5" customFormat="false" ht="15" hidden="false" customHeight="false" outlineLevel="0" collapsed="false">
      <c r="E5" s="18" t="s">
        <v>56</v>
      </c>
      <c r="F5" s="22" t="n">
        <f aca="false">F4+30</f>
        <v>46334</v>
      </c>
    </row>
    <row r="6" customFormat="false" ht="15" hidden="false" customHeight="false" outlineLevel="0" collapsed="false">
      <c r="A6" s="4" t="s">
        <v>57</v>
      </c>
    </row>
    <row r="7" customFormat="false" ht="15" hidden="false" customHeight="false" outlineLevel="0" collapsed="false">
      <c r="E7" s="23" t="s">
        <v>58</v>
      </c>
    </row>
    <row r="8" customFormat="false" ht="15" hidden="false" customHeight="false" outlineLevel="0" collapsed="false">
      <c r="E8" s="24" t="s">
        <v>59</v>
      </c>
    </row>
    <row r="9" customFormat="false" ht="19.7" hidden="false" customHeight="false" outlineLevel="0" collapsed="false">
      <c r="A9" s="25" t="s">
        <v>60</v>
      </c>
      <c r="B9" s="25"/>
      <c r="C9" s="26" t="n">
        <f aca="false">F35</f>
        <v>0</v>
      </c>
      <c r="D9" s="26"/>
      <c r="E9" s="27" t="s">
        <v>61</v>
      </c>
    </row>
    <row r="10" customFormat="false" ht="15" hidden="false" customHeight="false" outlineLevel="0" collapsed="false">
      <c r="E10" s="24" t="s">
        <v>62</v>
      </c>
    </row>
    <row r="12" customFormat="false" ht="15" hidden="false" customHeight="false" outlineLevel="0" collapsed="false">
      <c r="A12" s="28" t="s">
        <v>63</v>
      </c>
      <c r="B12" s="29" t="s">
        <v>18</v>
      </c>
      <c r="C12" s="29" t="s">
        <v>21</v>
      </c>
      <c r="D12" s="29" t="s">
        <v>19</v>
      </c>
      <c r="E12" s="29" t="s">
        <v>64</v>
      </c>
      <c r="F12" s="29" t="s">
        <v>65</v>
      </c>
    </row>
    <row r="13" customFormat="false" ht="15" hidden="false" customHeight="false" outlineLevel="0" collapsed="false">
      <c r="A13" s="30" t="str">
        <f aca="false">IF(COUNTIF(項目選択!$H$5:$H$64,1)=0,"",1)</f>
        <v/>
      </c>
      <c r="B13" s="31" t="str">
        <f aca="false">IFERROR(INDEX(項目選択!$C$5:$C$64,MATCH(1,項目選択!$H$5:$H$64,0)),"")</f>
        <v/>
      </c>
      <c r="C13" s="30" t="str">
        <f aca="false">IFERROR(INDEX(項目選択!$F$5:$F$64,MATCH(1,項目選択!$H$5:$H$64,0)),"")</f>
        <v/>
      </c>
      <c r="D13" s="30" t="str">
        <f aca="false">IFERROR(INDEX(項目選択!$D$5:$D$64,MATCH(1,項目選択!$H$5:$H$64,0)),"")</f>
        <v/>
      </c>
      <c r="E13" s="11" t="str">
        <f aca="false">IFERROR(INDEX(項目選択!$E$5:$E$64,MATCH(1,項目選択!$H$5:$H$64,0)),"")</f>
        <v/>
      </c>
      <c r="F13" s="11" t="str">
        <f aca="false">IF(B13="","",C13*E13)</f>
        <v/>
      </c>
    </row>
    <row r="14" customFormat="false" ht="15" hidden="false" customHeight="false" outlineLevel="0" collapsed="false">
      <c r="A14" s="30" t="str">
        <f aca="false">IF(COUNTIF(項目選択!$H$5:$H$64,2)=0,"",2)</f>
        <v/>
      </c>
      <c r="B14" s="31" t="str">
        <f aca="false">IFERROR(INDEX(項目選択!$C$5:$C$64,MATCH(2,項目選択!$H$5:$H$64,0)),"")</f>
        <v/>
      </c>
      <c r="C14" s="30" t="str">
        <f aca="false">IFERROR(INDEX(項目選択!$F$5:$F$64,MATCH(2,項目選択!$H$5:$H$64,0)),"")</f>
        <v/>
      </c>
      <c r="D14" s="30" t="str">
        <f aca="false">IFERROR(INDEX(項目選択!$D$5:$D$64,MATCH(2,項目選択!$H$5:$H$64,0)),"")</f>
        <v/>
      </c>
      <c r="E14" s="11" t="str">
        <f aca="false">IFERROR(INDEX(項目選択!$E$5:$E$64,MATCH(2,項目選択!$H$5:$H$64,0)),"")</f>
        <v/>
      </c>
      <c r="F14" s="11" t="str">
        <f aca="false">IF(B14="","",C14*E14)</f>
        <v/>
      </c>
    </row>
    <row r="15" customFormat="false" ht="15" hidden="false" customHeight="false" outlineLevel="0" collapsed="false">
      <c r="A15" s="30" t="str">
        <f aca="false">IF(COUNTIF(項目選択!$H$5:$H$64,3)=0,"",3)</f>
        <v/>
      </c>
      <c r="B15" s="31" t="str">
        <f aca="false">IFERROR(INDEX(項目選択!$C$5:$C$64,MATCH(3,項目選択!$H$5:$H$64,0)),"")</f>
        <v/>
      </c>
      <c r="C15" s="30" t="str">
        <f aca="false">IFERROR(INDEX(項目選択!$F$5:$F$64,MATCH(3,項目選択!$H$5:$H$64,0)),"")</f>
        <v/>
      </c>
      <c r="D15" s="30" t="str">
        <f aca="false">IFERROR(INDEX(項目選択!$D$5:$D$64,MATCH(3,項目選択!$H$5:$H$64,0)),"")</f>
        <v/>
      </c>
      <c r="E15" s="11" t="str">
        <f aca="false">IFERROR(INDEX(項目選択!$E$5:$E$64,MATCH(3,項目選択!$H$5:$H$64,0)),"")</f>
        <v/>
      </c>
      <c r="F15" s="11" t="str">
        <f aca="false">IF(B15="","",C15*E15)</f>
        <v/>
      </c>
    </row>
    <row r="16" customFormat="false" ht="15" hidden="false" customHeight="false" outlineLevel="0" collapsed="false">
      <c r="A16" s="30" t="str">
        <f aca="false">IF(COUNTIF(項目選択!$H$5:$H$64,4)=0,"",4)</f>
        <v/>
      </c>
      <c r="B16" s="31" t="str">
        <f aca="false">IFERROR(INDEX(項目選択!$C$5:$C$64,MATCH(4,項目選択!$H$5:$H$64,0)),"")</f>
        <v/>
      </c>
      <c r="C16" s="30" t="str">
        <f aca="false">IFERROR(INDEX(項目選択!$F$5:$F$64,MATCH(4,項目選択!$H$5:$H$64,0)),"")</f>
        <v/>
      </c>
      <c r="D16" s="30" t="str">
        <f aca="false">IFERROR(INDEX(項目選択!$D$5:$D$64,MATCH(4,項目選択!$H$5:$H$64,0)),"")</f>
        <v/>
      </c>
      <c r="E16" s="11" t="str">
        <f aca="false">IFERROR(INDEX(項目選択!$E$5:$E$64,MATCH(4,項目選択!$H$5:$H$64,0)),"")</f>
        <v/>
      </c>
      <c r="F16" s="11" t="str">
        <f aca="false">IF(B16="","",C16*E16)</f>
        <v/>
      </c>
    </row>
    <row r="17" customFormat="false" ht="15" hidden="false" customHeight="false" outlineLevel="0" collapsed="false">
      <c r="A17" s="30" t="str">
        <f aca="false">IF(COUNTIF(項目選択!$H$5:$H$64,5)=0,"",5)</f>
        <v/>
      </c>
      <c r="B17" s="31" t="str">
        <f aca="false">IFERROR(INDEX(項目選択!$C$5:$C$64,MATCH(5,項目選択!$H$5:$H$64,0)),"")</f>
        <v/>
      </c>
      <c r="C17" s="30" t="str">
        <f aca="false">IFERROR(INDEX(項目選択!$F$5:$F$64,MATCH(5,項目選択!$H$5:$H$64,0)),"")</f>
        <v/>
      </c>
      <c r="D17" s="30" t="str">
        <f aca="false">IFERROR(INDEX(項目選択!$D$5:$D$64,MATCH(5,項目選択!$H$5:$H$64,0)),"")</f>
        <v/>
      </c>
      <c r="E17" s="11" t="str">
        <f aca="false">IFERROR(INDEX(項目選択!$E$5:$E$64,MATCH(5,項目選択!$H$5:$H$64,0)),"")</f>
        <v/>
      </c>
      <c r="F17" s="11" t="str">
        <f aca="false">IF(B17="","",C17*E17)</f>
        <v/>
      </c>
    </row>
    <row r="18" customFormat="false" ht="15" hidden="false" customHeight="false" outlineLevel="0" collapsed="false">
      <c r="A18" s="30" t="str">
        <f aca="false">IF(COUNTIF(項目選択!$H$5:$H$64,6)=0,"",6)</f>
        <v/>
      </c>
      <c r="B18" s="31" t="str">
        <f aca="false">IFERROR(INDEX(項目選択!$C$5:$C$64,MATCH(6,項目選択!$H$5:$H$64,0)),"")</f>
        <v/>
      </c>
      <c r="C18" s="30" t="str">
        <f aca="false">IFERROR(INDEX(項目選択!$F$5:$F$64,MATCH(6,項目選択!$H$5:$H$64,0)),"")</f>
        <v/>
      </c>
      <c r="D18" s="30" t="str">
        <f aca="false">IFERROR(INDEX(項目選択!$D$5:$D$64,MATCH(6,項目選択!$H$5:$H$64,0)),"")</f>
        <v/>
      </c>
      <c r="E18" s="11" t="str">
        <f aca="false">IFERROR(INDEX(項目選択!$E$5:$E$64,MATCH(6,項目選択!$H$5:$H$64,0)),"")</f>
        <v/>
      </c>
      <c r="F18" s="11" t="str">
        <f aca="false">IF(B18="","",C18*E18)</f>
        <v/>
      </c>
    </row>
    <row r="19" customFormat="false" ht="15" hidden="false" customHeight="false" outlineLevel="0" collapsed="false">
      <c r="A19" s="30" t="str">
        <f aca="false">IF(COUNTIF(項目選択!$H$5:$H$64,7)=0,"",7)</f>
        <v/>
      </c>
      <c r="B19" s="31" t="str">
        <f aca="false">IFERROR(INDEX(項目選択!$C$5:$C$64,MATCH(7,項目選択!$H$5:$H$64,0)),"")</f>
        <v/>
      </c>
      <c r="C19" s="30" t="str">
        <f aca="false">IFERROR(INDEX(項目選択!$F$5:$F$64,MATCH(7,項目選択!$H$5:$H$64,0)),"")</f>
        <v/>
      </c>
      <c r="D19" s="30" t="str">
        <f aca="false">IFERROR(INDEX(項目選択!$D$5:$D$64,MATCH(7,項目選択!$H$5:$H$64,0)),"")</f>
        <v/>
      </c>
      <c r="E19" s="11" t="str">
        <f aca="false">IFERROR(INDEX(項目選択!$E$5:$E$64,MATCH(7,項目選択!$H$5:$H$64,0)),"")</f>
        <v/>
      </c>
      <c r="F19" s="11" t="str">
        <f aca="false">IF(B19="","",C19*E19)</f>
        <v/>
      </c>
    </row>
    <row r="20" customFormat="false" ht="15" hidden="false" customHeight="false" outlineLevel="0" collapsed="false">
      <c r="A20" s="30" t="str">
        <f aca="false">IF(COUNTIF(項目選択!$H$5:$H$64,8)=0,"",8)</f>
        <v/>
      </c>
      <c r="B20" s="31" t="str">
        <f aca="false">IFERROR(INDEX(項目選択!$C$5:$C$64,MATCH(8,項目選択!$H$5:$H$64,0)),"")</f>
        <v/>
      </c>
      <c r="C20" s="30" t="str">
        <f aca="false">IFERROR(INDEX(項目選択!$F$5:$F$64,MATCH(8,項目選択!$H$5:$H$64,0)),"")</f>
        <v/>
      </c>
      <c r="D20" s="30" t="str">
        <f aca="false">IFERROR(INDEX(項目選択!$D$5:$D$64,MATCH(8,項目選択!$H$5:$H$64,0)),"")</f>
        <v/>
      </c>
      <c r="E20" s="11" t="str">
        <f aca="false">IFERROR(INDEX(項目選択!$E$5:$E$64,MATCH(8,項目選択!$H$5:$H$64,0)),"")</f>
        <v/>
      </c>
      <c r="F20" s="11" t="str">
        <f aca="false">IF(B20="","",C20*E20)</f>
        <v/>
      </c>
    </row>
    <row r="21" customFormat="false" ht="15" hidden="false" customHeight="false" outlineLevel="0" collapsed="false">
      <c r="A21" s="30" t="str">
        <f aca="false">IF(COUNTIF(項目選択!$H$5:$H$64,9)=0,"",9)</f>
        <v/>
      </c>
      <c r="B21" s="31" t="str">
        <f aca="false">IFERROR(INDEX(項目選択!$C$5:$C$64,MATCH(9,項目選択!$H$5:$H$64,0)),"")</f>
        <v/>
      </c>
      <c r="C21" s="30" t="str">
        <f aca="false">IFERROR(INDEX(項目選択!$F$5:$F$64,MATCH(9,項目選択!$H$5:$H$64,0)),"")</f>
        <v/>
      </c>
      <c r="D21" s="30" t="str">
        <f aca="false">IFERROR(INDEX(項目選択!$D$5:$D$64,MATCH(9,項目選択!$H$5:$H$64,0)),"")</f>
        <v/>
      </c>
      <c r="E21" s="11" t="str">
        <f aca="false">IFERROR(INDEX(項目選択!$E$5:$E$64,MATCH(9,項目選択!$H$5:$H$64,0)),"")</f>
        <v/>
      </c>
      <c r="F21" s="11" t="str">
        <f aca="false">IF(B21="","",C21*E21)</f>
        <v/>
      </c>
    </row>
    <row r="22" customFormat="false" ht="15" hidden="false" customHeight="false" outlineLevel="0" collapsed="false">
      <c r="A22" s="30" t="str">
        <f aca="false">IF(COUNTIF(項目選択!$H$5:$H$64,10)=0,"",10)</f>
        <v/>
      </c>
      <c r="B22" s="31" t="str">
        <f aca="false">IFERROR(INDEX(項目選択!$C$5:$C$64,MATCH(10,項目選択!$H$5:$H$64,0)),"")</f>
        <v/>
      </c>
      <c r="C22" s="30" t="str">
        <f aca="false">IFERROR(INDEX(項目選択!$F$5:$F$64,MATCH(10,項目選択!$H$5:$H$64,0)),"")</f>
        <v/>
      </c>
      <c r="D22" s="30" t="str">
        <f aca="false">IFERROR(INDEX(項目選択!$D$5:$D$64,MATCH(10,項目選択!$H$5:$H$64,0)),"")</f>
        <v/>
      </c>
      <c r="E22" s="11" t="str">
        <f aca="false">IFERROR(INDEX(項目選択!$E$5:$E$64,MATCH(10,項目選択!$H$5:$H$64,0)),"")</f>
        <v/>
      </c>
      <c r="F22" s="11" t="str">
        <f aca="false">IF(B22="","",C22*E22)</f>
        <v/>
      </c>
    </row>
    <row r="23" customFormat="false" ht="15" hidden="false" customHeight="false" outlineLevel="0" collapsed="false">
      <c r="A23" s="30" t="str">
        <f aca="false">IF(COUNTIF(項目選択!$H$5:$H$64,11)=0,"",11)</f>
        <v/>
      </c>
      <c r="B23" s="31" t="str">
        <f aca="false">IFERROR(INDEX(項目選択!$C$5:$C$64,MATCH(11,項目選択!$H$5:$H$64,0)),"")</f>
        <v/>
      </c>
      <c r="C23" s="30" t="str">
        <f aca="false">IFERROR(INDEX(項目選択!$F$5:$F$64,MATCH(11,項目選択!$H$5:$H$64,0)),"")</f>
        <v/>
      </c>
      <c r="D23" s="30" t="str">
        <f aca="false">IFERROR(INDEX(項目選択!$D$5:$D$64,MATCH(11,項目選択!$H$5:$H$64,0)),"")</f>
        <v/>
      </c>
      <c r="E23" s="11" t="str">
        <f aca="false">IFERROR(INDEX(項目選択!$E$5:$E$64,MATCH(11,項目選択!$H$5:$H$64,0)),"")</f>
        <v/>
      </c>
      <c r="F23" s="11" t="str">
        <f aca="false">IF(B23="","",C23*E23)</f>
        <v/>
      </c>
    </row>
    <row r="24" customFormat="false" ht="15" hidden="false" customHeight="false" outlineLevel="0" collapsed="false">
      <c r="A24" s="30" t="str">
        <f aca="false">IF(COUNTIF(項目選択!$H$5:$H$64,12)=0,"",12)</f>
        <v/>
      </c>
      <c r="B24" s="31" t="str">
        <f aca="false">IFERROR(INDEX(項目選択!$C$5:$C$64,MATCH(12,項目選択!$H$5:$H$64,0)),"")</f>
        <v/>
      </c>
      <c r="C24" s="30" t="str">
        <f aca="false">IFERROR(INDEX(項目選択!$F$5:$F$64,MATCH(12,項目選択!$H$5:$H$64,0)),"")</f>
        <v/>
      </c>
      <c r="D24" s="30" t="str">
        <f aca="false">IFERROR(INDEX(項目選択!$D$5:$D$64,MATCH(12,項目選択!$H$5:$H$64,0)),"")</f>
        <v/>
      </c>
      <c r="E24" s="11" t="str">
        <f aca="false">IFERROR(INDEX(項目選択!$E$5:$E$64,MATCH(12,項目選択!$H$5:$H$64,0)),"")</f>
        <v/>
      </c>
      <c r="F24" s="11" t="str">
        <f aca="false">IF(B24="","",C24*E24)</f>
        <v/>
      </c>
    </row>
    <row r="25" customFormat="false" ht="15" hidden="false" customHeight="false" outlineLevel="0" collapsed="false">
      <c r="A25" s="30" t="str">
        <f aca="false">IF(COUNTIF(項目選択!$H$5:$H$64,13)=0,"",13)</f>
        <v/>
      </c>
      <c r="B25" s="31" t="str">
        <f aca="false">IFERROR(INDEX(項目選択!$C$5:$C$64,MATCH(13,項目選択!$H$5:$H$64,0)),"")</f>
        <v/>
      </c>
      <c r="C25" s="30" t="str">
        <f aca="false">IFERROR(INDEX(項目選択!$F$5:$F$64,MATCH(13,項目選択!$H$5:$H$64,0)),"")</f>
        <v/>
      </c>
      <c r="D25" s="30" t="str">
        <f aca="false">IFERROR(INDEX(項目選択!$D$5:$D$64,MATCH(13,項目選択!$H$5:$H$64,0)),"")</f>
        <v/>
      </c>
      <c r="E25" s="11" t="str">
        <f aca="false">IFERROR(INDEX(項目選択!$E$5:$E$64,MATCH(13,項目選択!$H$5:$H$64,0)),"")</f>
        <v/>
      </c>
      <c r="F25" s="11" t="str">
        <f aca="false">IF(B25="","",C25*E25)</f>
        <v/>
      </c>
    </row>
    <row r="26" customFormat="false" ht="15" hidden="false" customHeight="false" outlineLevel="0" collapsed="false">
      <c r="A26" s="30" t="str">
        <f aca="false">IF(COUNTIF(項目選択!$H$5:$H$64,14)=0,"",14)</f>
        <v/>
      </c>
      <c r="B26" s="31" t="str">
        <f aca="false">IFERROR(INDEX(項目選択!$C$5:$C$64,MATCH(14,項目選択!$H$5:$H$64,0)),"")</f>
        <v/>
      </c>
      <c r="C26" s="30" t="str">
        <f aca="false">IFERROR(INDEX(項目選択!$F$5:$F$64,MATCH(14,項目選択!$H$5:$H$64,0)),"")</f>
        <v/>
      </c>
      <c r="D26" s="30" t="str">
        <f aca="false">IFERROR(INDEX(項目選択!$D$5:$D$64,MATCH(14,項目選択!$H$5:$H$64,0)),"")</f>
        <v/>
      </c>
      <c r="E26" s="11" t="str">
        <f aca="false">IFERROR(INDEX(項目選択!$E$5:$E$64,MATCH(14,項目選択!$H$5:$H$64,0)),"")</f>
        <v/>
      </c>
      <c r="F26" s="11" t="str">
        <f aca="false">IF(B26="","",C26*E26)</f>
        <v/>
      </c>
    </row>
    <row r="27" customFormat="false" ht="15" hidden="false" customHeight="false" outlineLevel="0" collapsed="false">
      <c r="A27" s="30" t="str">
        <f aca="false">IF(COUNTIF(項目選択!$H$5:$H$64,15)=0,"",15)</f>
        <v/>
      </c>
      <c r="B27" s="31" t="str">
        <f aca="false">IFERROR(INDEX(項目選択!$C$5:$C$64,MATCH(15,項目選択!$H$5:$H$64,0)),"")</f>
        <v/>
      </c>
      <c r="C27" s="30" t="str">
        <f aca="false">IFERROR(INDEX(項目選択!$F$5:$F$64,MATCH(15,項目選択!$H$5:$H$64,0)),"")</f>
        <v/>
      </c>
      <c r="D27" s="30" t="str">
        <f aca="false">IFERROR(INDEX(項目選択!$D$5:$D$64,MATCH(15,項目選択!$H$5:$H$64,0)),"")</f>
        <v/>
      </c>
      <c r="E27" s="11" t="str">
        <f aca="false">IFERROR(INDEX(項目選択!$E$5:$E$64,MATCH(15,項目選択!$H$5:$H$64,0)),"")</f>
        <v/>
      </c>
      <c r="F27" s="11" t="str">
        <f aca="false">IF(B27="","",C27*E27)</f>
        <v/>
      </c>
    </row>
    <row r="28" customFormat="false" ht="15" hidden="false" customHeight="false" outlineLevel="0" collapsed="false">
      <c r="A28" s="30" t="str">
        <f aca="false">IF(COUNTIF(項目選択!$H$5:$H$64,16)=0,"",16)</f>
        <v/>
      </c>
      <c r="B28" s="31" t="str">
        <f aca="false">IFERROR(INDEX(項目選択!$C$5:$C$64,MATCH(16,項目選択!$H$5:$H$64,0)),"")</f>
        <v/>
      </c>
      <c r="C28" s="30" t="str">
        <f aca="false">IFERROR(INDEX(項目選択!$F$5:$F$64,MATCH(16,項目選択!$H$5:$H$64,0)),"")</f>
        <v/>
      </c>
      <c r="D28" s="30" t="str">
        <f aca="false">IFERROR(INDEX(項目選択!$D$5:$D$64,MATCH(16,項目選択!$H$5:$H$64,0)),"")</f>
        <v/>
      </c>
      <c r="E28" s="11" t="str">
        <f aca="false">IFERROR(INDEX(項目選択!$E$5:$E$64,MATCH(16,項目選択!$H$5:$H$64,0)),"")</f>
        <v/>
      </c>
      <c r="F28" s="11" t="str">
        <f aca="false">IF(B28="","",C28*E28)</f>
        <v/>
      </c>
    </row>
    <row r="29" customFormat="false" ht="15" hidden="false" customHeight="false" outlineLevel="0" collapsed="false">
      <c r="A29" s="30" t="str">
        <f aca="false">IF(COUNTIF(項目選択!$H$5:$H$64,17)=0,"",17)</f>
        <v/>
      </c>
      <c r="B29" s="31" t="str">
        <f aca="false">IFERROR(INDEX(項目選択!$C$5:$C$64,MATCH(17,項目選択!$H$5:$H$64,0)),"")</f>
        <v/>
      </c>
      <c r="C29" s="30" t="str">
        <f aca="false">IFERROR(INDEX(項目選択!$F$5:$F$64,MATCH(17,項目選択!$H$5:$H$64,0)),"")</f>
        <v/>
      </c>
      <c r="D29" s="30" t="str">
        <f aca="false">IFERROR(INDEX(項目選択!$D$5:$D$64,MATCH(17,項目選択!$H$5:$H$64,0)),"")</f>
        <v/>
      </c>
      <c r="E29" s="11" t="str">
        <f aca="false">IFERROR(INDEX(項目選択!$E$5:$E$64,MATCH(17,項目選択!$H$5:$H$64,0)),"")</f>
        <v/>
      </c>
      <c r="F29" s="11" t="str">
        <f aca="false">IF(B29="","",C29*E29)</f>
        <v/>
      </c>
    </row>
    <row r="30" customFormat="false" ht="15" hidden="false" customHeight="false" outlineLevel="0" collapsed="false">
      <c r="A30" s="30" t="str">
        <f aca="false">IF(COUNTIF(項目選択!$H$5:$H$64,18)=0,"",18)</f>
        <v/>
      </c>
      <c r="B30" s="31" t="str">
        <f aca="false">IFERROR(INDEX(項目選択!$C$5:$C$64,MATCH(18,項目選択!$H$5:$H$64,0)),"")</f>
        <v/>
      </c>
      <c r="C30" s="30" t="str">
        <f aca="false">IFERROR(INDEX(項目選択!$F$5:$F$64,MATCH(18,項目選択!$H$5:$H$64,0)),"")</f>
        <v/>
      </c>
      <c r="D30" s="30" t="str">
        <f aca="false">IFERROR(INDEX(項目選択!$D$5:$D$64,MATCH(18,項目選択!$H$5:$H$64,0)),"")</f>
        <v/>
      </c>
      <c r="E30" s="11" t="str">
        <f aca="false">IFERROR(INDEX(項目選択!$E$5:$E$64,MATCH(18,項目選択!$H$5:$H$64,0)),"")</f>
        <v/>
      </c>
      <c r="F30" s="11" t="str">
        <f aca="false">IF(B30="","",C30*E30)</f>
        <v/>
      </c>
    </row>
    <row r="31" customFormat="false" ht="15" hidden="false" customHeight="false" outlineLevel="0" collapsed="false">
      <c r="A31" s="30" t="str">
        <f aca="false">IF(COUNTIF(項目選択!$H$5:$H$64,19)=0,"",19)</f>
        <v/>
      </c>
      <c r="B31" s="31" t="str">
        <f aca="false">IFERROR(INDEX(項目選択!$C$5:$C$64,MATCH(19,項目選択!$H$5:$H$64,0)),"")</f>
        <v/>
      </c>
      <c r="C31" s="30" t="str">
        <f aca="false">IFERROR(INDEX(項目選択!$F$5:$F$64,MATCH(19,項目選択!$H$5:$H$64,0)),"")</f>
        <v/>
      </c>
      <c r="D31" s="30" t="str">
        <f aca="false">IFERROR(INDEX(項目選択!$D$5:$D$64,MATCH(19,項目選択!$H$5:$H$64,0)),"")</f>
        <v/>
      </c>
      <c r="E31" s="11" t="str">
        <f aca="false">IFERROR(INDEX(項目選択!$E$5:$E$64,MATCH(19,項目選択!$H$5:$H$64,0)),"")</f>
        <v/>
      </c>
      <c r="F31" s="11" t="str">
        <f aca="false">IF(B31="","",C31*E31)</f>
        <v/>
      </c>
    </row>
    <row r="32" customFormat="false" ht="15" hidden="false" customHeight="false" outlineLevel="0" collapsed="false">
      <c r="A32" s="30" t="str">
        <f aca="false">IF(COUNTIF(項目選択!$H$5:$H$64,20)=0,"",20)</f>
        <v/>
      </c>
      <c r="B32" s="31" t="str">
        <f aca="false">IFERROR(INDEX(項目選択!$C$5:$C$64,MATCH(20,項目選択!$H$5:$H$64,0)),"")</f>
        <v/>
      </c>
      <c r="C32" s="30" t="str">
        <f aca="false">IFERROR(INDEX(項目選択!$F$5:$F$64,MATCH(20,項目選択!$H$5:$H$64,0)),"")</f>
        <v/>
      </c>
      <c r="D32" s="30" t="str">
        <f aca="false">IFERROR(INDEX(項目選択!$D$5:$D$64,MATCH(20,項目選択!$H$5:$H$64,0)),"")</f>
        <v/>
      </c>
      <c r="E32" s="11" t="str">
        <f aca="false">IFERROR(INDEX(項目選択!$E$5:$E$64,MATCH(20,項目選択!$H$5:$H$64,0)),"")</f>
        <v/>
      </c>
      <c r="F32" s="11" t="str">
        <f aca="false">IF(B32="","",C32*E32)</f>
        <v/>
      </c>
    </row>
    <row r="33" customFormat="false" ht="15" hidden="false" customHeight="false" outlineLevel="0" collapsed="false">
      <c r="D33" s="32" t="s">
        <v>66</v>
      </c>
      <c r="E33" s="32"/>
      <c r="F33" s="33" t="n">
        <f aca="false">SUM(F13:F32)</f>
        <v>0</v>
      </c>
    </row>
    <row r="34" customFormat="false" ht="15" hidden="false" customHeight="false" outlineLevel="0" collapsed="false">
      <c r="D34" s="32" t="s">
        <v>67</v>
      </c>
      <c r="E34" s="32"/>
      <c r="F34" s="33" t="n">
        <f aca="false">ROUNDDOWN(F33*$I$3,0)</f>
        <v>0</v>
      </c>
    </row>
    <row r="35" customFormat="false" ht="15" hidden="false" customHeight="false" outlineLevel="0" collapsed="false">
      <c r="D35" s="34" t="s">
        <v>68</v>
      </c>
      <c r="E35" s="34"/>
      <c r="F35" s="35" t="n">
        <f aca="false">F33+F34</f>
        <v>0</v>
      </c>
    </row>
    <row r="37" customFormat="false" ht="15" hidden="false" customHeight="false" outlineLevel="0" collapsed="false">
      <c r="A37" s="13" t="s">
        <v>69</v>
      </c>
    </row>
    <row r="38" customFormat="false" ht="15" hidden="false" customHeight="true" outlineLevel="0" collapsed="false">
      <c r="A38" s="36" t="s">
        <v>70</v>
      </c>
      <c r="B38" s="36"/>
      <c r="C38" s="36"/>
      <c r="D38" s="36"/>
      <c r="E38" s="36"/>
      <c r="F38" s="36"/>
    </row>
    <row r="39" customFormat="false" ht="15" hidden="false" customHeight="false" outlineLevel="0" collapsed="false">
      <c r="A39" s="36"/>
      <c r="B39" s="36"/>
      <c r="C39" s="36"/>
      <c r="D39" s="36"/>
      <c r="E39" s="36"/>
      <c r="F39" s="36"/>
    </row>
    <row r="40" customFormat="false" ht="15" hidden="false" customHeight="false" outlineLevel="0" collapsed="false">
      <c r="A40" s="36"/>
      <c r="B40" s="36"/>
      <c r="C40" s="36"/>
      <c r="D40" s="36"/>
      <c r="E40" s="36"/>
      <c r="F40" s="36"/>
    </row>
  </sheetData>
  <mergeCells count="9">
    <mergeCell ref="A1:F1"/>
    <mergeCell ref="A3:C3"/>
    <mergeCell ref="A4:C4"/>
    <mergeCell ref="A9:B9"/>
    <mergeCell ref="C9:D9"/>
    <mergeCell ref="D33:E33"/>
    <mergeCell ref="D34:E34"/>
    <mergeCell ref="D35:E35"/>
    <mergeCell ref="A38:F40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2026-10-09T12:59:37Z</dcterms:created>
  <dc:creator>openpyxl</dc:creator>
  <dc:description/>
  <dc:language>en-US</dc:language>
  <cp:lastModifiedBy/>
  <dcterms:modified xsi:type="dcterms:W3CDTF">2026-10-09T12:59:37Z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